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Навигация" sheetId="1" r:id="rId1"/>
    <sheet name="01_ТекстильПром" sheetId="2" r:id="rId2"/>
    <sheet name="02_Сумма_среднее" sheetId="3" r:id="rId3"/>
    <sheet name="03_Среднее_без_нулей" sheetId="4" r:id="rId4"/>
    <sheet name="04_Скидка" sheetId="5" r:id="rId5"/>
    <sheet name="05_Доступ" sheetId="6" r:id="rId6"/>
    <sheet name="06_Срок_проекта" sheetId="7" r:id="rId7"/>
    <sheet name="07_Дедлайн" sheetId="8" r:id="rId8"/>
    <sheet name="08_Продажи" sheetId="9" r:id="rId9"/>
    <sheet name="09_Себестоимость" sheetId="10" r:id="rId10"/>
    <sheet name="10_Качество" sheetId="11" r:id="rId11"/>
    <sheet name="11_Заказ_праздники" sheetId="12" r:id="rId12"/>
    <sheet name="12_Партии_ткани" sheetId="13" r:id="rId13"/>
    <sheet name="13_В1_Рабочее_время" sheetId="14" r:id="rId14"/>
    <sheet name="14_В2_Склад" sheetId="15" r:id="rId15"/>
    <sheet name="15_В3_Производство" sheetId="16" r:id="rId16"/>
    <sheet name="16_В4_Доставка" sheetId="17" r:id="rId17"/>
    <sheet name="17_В5_Показатели_цеха" sheetId="18" r:id="rId18"/>
  </sheets>
  <definedNames>
    <definedName name="_xlnm.Print_Area" localSheetId="0">'00_Навигация'!$A$1:$H$27</definedName>
    <definedName name="_xlnm.Print_Area" localSheetId="1">'01_ТекстильПром'!$A$1:$N$33</definedName>
    <definedName name="_xlnm.Print_Area" localSheetId="2">'02_Сумма_среднее'!$A$1:$N$13</definedName>
    <definedName name="_xlnm.Print_Area" localSheetId="3">'03_Среднее_без_нулей'!$A$1:$N$13</definedName>
    <definedName name="_xlnm.Print_Area" localSheetId="4">'04_Скидка'!$A$1:$N$9</definedName>
    <definedName name="_xlnm.Print_Area" localSheetId="5">'05_Доступ'!$A$1:$N$10</definedName>
    <definedName name="_xlnm.Print_Area" localSheetId="6">'06_Срок_проекта'!$A$1:$N$6</definedName>
    <definedName name="_xlnm.Print_Area" localSheetId="7">'07_Дедлайн'!$A$1:$N$10</definedName>
    <definedName name="_xlnm.Print_Area" localSheetId="8">'08_Продажи'!$A$1:$N$33</definedName>
    <definedName name="_xlnm.Print_Area" localSheetId="9">'09_Себестоимость'!$A$1:$N$9</definedName>
    <definedName name="_xlnm.Print_Area" localSheetId="10">'10_Качество'!$A$1:$N$10</definedName>
    <definedName name="_xlnm.Print_Area" localSheetId="11">'11_Заказ_праздники'!$A$1:$N$6</definedName>
    <definedName name="_xlnm.Print_Area" localSheetId="12">'12_Партии_ткани'!$A$1:$N$16</definedName>
    <definedName name="_xlnm.Print_Area" localSheetId="13">'13_В1_Рабочее_время'!$A$1:$N$33</definedName>
    <definedName name="_xlnm.Print_Area" localSheetId="14">'14_В2_Склад'!$A$1:$N$33</definedName>
    <definedName name="_xlnm.Print_Area" localSheetId="15">'15_В3_Производство'!$A$1:$N$33</definedName>
    <definedName name="_xlnm.Print_Area" localSheetId="16">'16_В4_Доставка'!$A$1:$N$33</definedName>
    <definedName name="_xlnm.Print_Area" localSheetId="17">'17_В5_Показатели_цеха'!$A$1:$N$33</definedName>
    <definedName name="_xlnm.Print_Titles" localSheetId="0">'00_Навигация'!$1:$1</definedName>
    <definedName name="_xlnm.Print_Titles" localSheetId="1">'01_ТекстильПром'!$1:$1</definedName>
    <definedName name="_xlnm.Print_Titles" localSheetId="2">'02_Сумма_среднее'!$1:$1</definedName>
    <definedName name="_xlnm.Print_Titles" localSheetId="3">'03_Среднее_без_нулей'!$1:$1</definedName>
    <definedName name="_xlnm.Print_Titles" localSheetId="4">'04_Скидка'!$1:$1</definedName>
    <definedName name="_xlnm.Print_Titles" localSheetId="5">'05_Доступ'!$1:$1</definedName>
    <definedName name="_xlnm.Print_Titles" localSheetId="6">'06_Срок_проекта'!$1:$1</definedName>
    <definedName name="_xlnm.Print_Titles" localSheetId="7">'07_Дедлайн'!$1:$1</definedName>
    <definedName name="_xlnm.Print_Titles" localSheetId="8">'08_Продажи'!$1:$1</definedName>
    <definedName name="_xlnm.Print_Titles" localSheetId="9">'09_Себестоимость'!$1:$1</definedName>
    <definedName name="_xlnm.Print_Titles" localSheetId="10">'10_Качество'!$1:$1</definedName>
    <definedName name="_xlnm.Print_Titles" localSheetId="11">'11_Заказ_праздники'!$1:$1</definedName>
    <definedName name="_xlnm.Print_Titles" localSheetId="12">'12_Партии_ткани'!$1:$1</definedName>
    <definedName name="_xlnm.Print_Titles" localSheetId="13">'13_В1_Рабочее_время'!$1:$1</definedName>
    <definedName name="_xlnm.Print_Titles" localSheetId="14">'14_В2_Склад'!$1:$1</definedName>
    <definedName name="_xlnm.Print_Titles" localSheetId="15">'15_В3_Производство'!$1:$1</definedName>
    <definedName name="_xlnm.Print_Titles" localSheetId="16">'16_В4_Доставка'!$1:$1</definedName>
    <definedName name="_xlnm.Print_Titles" localSheetId="17">'17_В5_Показатели_цеха'!$1:$1</definedName>
  </definedNames>
  <calcPr calcId="124519" fullCalcOnLoad="1"/>
</workbook>
</file>

<file path=xl/sharedStrings.xml><?xml version="1.0" encoding="utf-8"?>
<sst xmlns="http://schemas.openxmlformats.org/spreadsheetml/2006/main" count="273" uniqueCount="211">
  <si>
    <t>ОСНОВЫ РАБОТЫ С ЭЛЕКТРОННЫМИ ТАБЛИЦАМИ</t>
  </si>
  <si>
    <t>Все задания выполнены в одной книге. Голубые ячейки — исходные данные, зелёные — формулы. Изменяйте входные данные: результаты и диаграммы пересчитываются в Excel.</t>
  </si>
  <si>
    <t>Учебные данные выбраны самостоятельно только там, где они отсутствуют в условии. Подробные ответы, допущения и исправления неточностей сценария — в документе «Отчёт_по_уроку.docx».</t>
  </si>
  <si>
    <t>Отчёт ООО «ТекстильПром» за месяц</t>
  </si>
  <si>
    <t>№</t>
  </si>
  <si>
    <t>Наименование</t>
  </si>
  <si>
    <t>Ед. изм.</t>
  </si>
  <si>
    <t>Выпуск (план)</t>
  </si>
  <si>
    <t>Выпуск (факт)</t>
  </si>
  <si>
    <t>% выполнения</t>
  </si>
  <si>
    <t>Себестоимость, ₽/ед.</t>
  </si>
  <si>
    <t>Цена продажи, ₽/ед.</t>
  </si>
  <si>
    <t>Прибыль, ₽/ед.</t>
  </si>
  <si>
    <t>Общая прибыль, ₽</t>
  </si>
  <si>
    <t>Платья</t>
  </si>
  <si>
    <t>шт.</t>
  </si>
  <si>
    <t>Футболки</t>
  </si>
  <si>
    <t>Джинсы</t>
  </si>
  <si>
    <t>Юбки</t>
  </si>
  <si>
    <t>ИТОГО</t>
  </si>
  <si>
    <t>Проценты рассчитаны как на слайде: факт × 100 / план. Формат F3:F6 показывает целые числа без изменения точного значения (юбки: 95,74468… → 96). Прибыль условная: предполагается реализация всего фактического выпуска.</t>
  </si>
  <si>
    <t>Учебные данные: числа от 10 до 100</t>
  </si>
  <si>
    <t>Сумма</t>
  </si>
  <si>
    <t>Среднее</t>
  </si>
  <si>
    <t>Диапазон A1:A10 сохранён как в условии. Числа выбраны самостоятельно.</t>
  </si>
  <si>
    <t>Среднее без нулей</t>
  </si>
  <si>
    <t>Учебные данные G1:G10: 10; 0; 20; 30; 0; 40; 50; 0; 60; 70. Нулевые значения исключены. Если все значения нулевые, среднее не определено.</t>
  </si>
  <si>
    <t>Сумма покупки, ₽</t>
  </si>
  <si>
    <t>К оплате, ₽</t>
  </si>
  <si>
    <t>Покупка, ₽</t>
  </si>
  <si>
    <t>Скидка</t>
  </si>
  <si>
    <t>Возраст</t>
  </si>
  <si>
    <t>Подписка</t>
  </si>
  <si>
    <t>Да</t>
  </si>
  <si>
    <t>Результат</t>
  </si>
  <si>
    <t>Нет</t>
  </si>
  <si>
    <t>A1: дата начала</t>
  </si>
  <si>
    <t>B1: рабочих дней</t>
  </si>
  <si>
    <t>C1: окончание</t>
  </si>
  <si>
    <t>D1: день недели</t>
  </si>
  <si>
    <t>Начальный день не включается. Исключаются суббота и воскресенье; праздничные даты в этих задачах не заданы. Обе задачи используют рабочие дни, поэтому результат одинаков.</t>
  </si>
  <si>
    <t>Тест: начало</t>
  </si>
  <si>
    <t>Рабочих дней</t>
  </si>
  <si>
    <t>Окончание</t>
  </si>
  <si>
    <t>Проверка</t>
  </si>
  <si>
    <t>Месяц</t>
  </si>
  <si>
    <t>Продажи, тыс. ₽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</si>
  <si>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</si>
  <si>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</si>
  <si>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</si>
  <si>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</si>
  <si>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</si>
  <si>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</si>
  <si>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</si>
  <si>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</si>
  <si>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</si>
  <si>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</si>
  <si>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</si>
  <si>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</si>
  <si>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Средние продажи</t>
  </si>
  <si>
    <t>Месяц максимума</t>
  </si>
  <si>
    <t>Выше среднего</t>
  </si>
  <si>
    <t>Всего за год</t>
  </si>
  <si>
    <t>Показатель</t>
  </si>
  <si>
    <t>Значение</t>
  </si>
  <si>
    <t>Расход, м/ед.</t>
  </si>
  <si>
    <t>Количество, ед.</t>
  </si>
  <si>
    <t>Цена, ₽/м</t>
  </si>
  <si>
    <t>НДС</t>
  </si>
  <si>
    <t>Без НДС, ₽</t>
  </si>
  <si>
    <t>НДС, ₽</t>
  </si>
  <si>
    <t>С НДС, ₽</t>
  </si>
  <si>
    <t>Прочность, Н/м²</t>
  </si>
  <si>
    <t>Отклонение цвета, %</t>
  </si>
  <si>
    <t>Сегмент</t>
  </si>
  <si>
    <t>Премиум</t>
  </si>
  <si>
    <t>Массмаркет</t>
  </si>
  <si>
    <t>Логика взята из решения на скрине: прочность ≥ 50 обязательна; затем цвет ≤ 5% ИЛИ сегмент «Массмаркет». Число 5 в столбце B означает 5%, не долю 0,05. Адреса формулы исправлены под заголовки таблицы.</t>
  </si>
  <si>
    <t>Дата согласования</t>
  </si>
  <si>
    <t>Нерабочие даты</t>
  </si>
  <si>
    <t>Срок, раб. дней</t>
  </si>
  <si>
    <t>Дата окончания</t>
  </si>
  <si>
    <t>Принята пятидневная рабочая неделя РФ: 12 июня — праздник, 13 июня 2025 — перенесённый выходной. Начальная дата не считается рабочим днём срока. Список исключений открыт для изменения под календарь организации.</t>
  </si>
  <si>
    <t>Партия</t>
  </si>
  <si>
    <t>Факт, м</t>
  </si>
  <si>
    <t>План, м</t>
  </si>
  <si>
    <t>Брак, м</t>
  </si>
  <si>
    <t>Себестоимость, ₽/м</t>
  </si>
  <si>
    <t>План, %</t>
  </si>
  <si>
    <t>Брак, %</t>
  </si>
  <si>
    <t>Показатель по условию, ₽</t>
  </si>
  <si>
    <t>Партия 1</t>
  </si>
  <si>
    <t>Партия 2</t>
  </si>
  <si>
    <t>Партия 3</t>
  </si>
  <si>
    <t>Партия 4</t>
  </si>
  <si>
    <t>Партия 5</t>
  </si>
  <si>
    <t>Средний брак</t>
  </si>
  <si>
    <t>Лучшая партия</t>
  </si>
  <si>
    <t>Максимум показателя</t>
  </si>
  <si>
    <t>Станд. откл. (выборка)</t>
  </si>
  <si>
    <t>Взвешенный брак</t>
  </si>
  <si>
    <t>Все пять партий — учебные данные. «Рентабельность» рассчитана строго по формуле сценария (Факт − Брак − План) × Себестоимость. Это стоимостное отклонение от плана, а не экономическая рентабельность. Средний процент брака — простое среднее по партиям; взвешенный показан отдельно.</t>
  </si>
  <si>
    <t>Сотрудник</t>
  </si>
  <si>
    <t>Дата</t>
  </si>
  <si>
    <t>Начало</t>
  </si>
  <si>
    <t>Перерыв, ч</t>
  </si>
  <si>
    <t>Часы</t>
  </si>
  <si>
    <t>Ставка, ₽/ч</t>
  </si>
  <si>
    <t>Зарплата, ₽</t>
  </si>
  <si>
    <t>Иванов</t>
  </si>
  <si>
    <t>Петрова</t>
  </si>
  <si>
    <t>Сидоров</t>
  </si>
  <si>
    <t>Смирнова</t>
  </si>
  <si>
    <t>Кузнецов</t>
  </si>
  <si>
    <t>Всего часов</t>
  </si>
  <si>
    <t>Фонд оплаты, ₽</t>
  </si>
  <si>
    <t>Средняя оплата, ₽</t>
  </si>
  <si>
    <t>Учебные данные за одну смену на сотрудника. Время хранится как время Excel. Смена через полночь учтена через ОСТАТ (MOD); длительность смены менее 24 часов. Зарплата — начисленная почасовая сумма, без налогов, надбавок и сверхурочных.</t>
  </si>
  <si>
    <t>Сырьё</t>
  </si>
  <si>
    <t>Начальный остаток</t>
  </si>
  <si>
    <t>Приход</t>
  </si>
  <si>
    <t>Расход</t>
  </si>
  <si>
    <t>Текущий остаток</t>
  </si>
  <si>
    <t>Минимум</t>
  </si>
  <si>
    <t>Статус</t>
  </si>
  <si>
    <t>К закупке</t>
  </si>
  <si>
    <t>Хлопок</t>
  </si>
  <si>
    <t>м</t>
  </si>
  <si>
    <t>Лён</t>
  </si>
  <si>
    <t>Шёлк</t>
  </si>
  <si>
    <t>Деним</t>
  </si>
  <si>
    <t>Подкладка</t>
  </si>
  <si>
    <t>Позиции к пополнению</t>
  </si>
  <si>
    <t>Закупить, м</t>
  </si>
  <si>
    <t>Остаток всего, м</t>
  </si>
  <si>
    <t>Все данные учебные. В этой таблице единица всех материалов — метр, поэтому суммирование допустимо. При остатке, равном минимуму, включается предупреждение; объём закупки рассчитан до минимального уровня.</t>
  </si>
  <si>
    <t>Продукция</t>
  </si>
  <si>
    <t>План, шт.</t>
  </si>
  <si>
    <t>Факт, шт.</t>
  </si>
  <si>
    <t>Брак, шт.</t>
  </si>
  <si>
    <t>Годный выпуск</t>
  </si>
  <si>
    <t>План по годному, %</t>
  </si>
  <si>
    <t>Отклонение, шт.</t>
  </si>
  <si>
    <t>Выполнение плана</t>
  </si>
  <si>
    <t>Общий брак</t>
  </si>
  <si>
    <t>План и факт взяты из «ТекстильПром»; брак 10, 3, 6, 9 шт. добавлен как учебное допущение. Здесь выполнение плана считается по годной продукции, поэтому отличается от исходного отчёта.</t>
  </si>
  <si>
    <t>Маршрут</t>
  </si>
  <si>
    <t>В одну сторону, км</t>
  </si>
  <si>
    <t>Рейсов</t>
  </si>
  <si>
    <t>Коэфф. пути</t>
  </si>
  <si>
    <t>Пробег, км</t>
  </si>
  <si>
    <t>Норма, л/100 км</t>
  </si>
  <si>
    <t>Топливо, л</t>
  </si>
  <si>
    <t>Топливо, ₽</t>
  </si>
  <si>
    <t>Прочие затраты, ₽</t>
  </si>
  <si>
    <t>Всего, ₽</t>
  </si>
  <si>
    <t>Цена топлива, ₽/л</t>
  </si>
  <si>
    <t>Прочие, ₽/км</t>
  </si>
  <si>
    <t>Склад → магазин А</t>
  </si>
  <si>
    <t>Склад → магазин Б</t>
  </si>
  <si>
    <t>Склад → фабрика</t>
  </si>
  <si>
    <t>Склад → пункт выдачи</t>
  </si>
  <si>
    <t>Перевозки, ₽</t>
  </si>
  <si>
    <t>Средняя цена км</t>
  </si>
  <si>
    <t>Маршруты, расстояния, нормы и тарифы — учебные, не реальные дорожные данные. Коэффициент 2 учитывает обратный путь. Прочие расходы включены нормативом 12 ₽/км; отдельные сборы не предполагаются. Ссылки $L$2 и $M$2 абсолютные.</t>
  </si>
  <si>
    <t>Затраты, ₽</t>
  </si>
  <si>
    <t>Выручка, ₽</t>
  </si>
  <si>
    <t>Прибыль, ₽</t>
  </si>
  <si>
    <t>Рентабельность</t>
  </si>
  <si>
    <t>Предел брака</t>
  </si>
  <si>
    <t>Рентабельность затрат</t>
  </si>
  <si>
    <t>Доля брака</t>
  </si>
  <si>
    <t>Позиции внимания</t>
  </si>
  <si>
    <t>Модульная система: исходные цены — лист 01, производство и брак — лист 15, здесь расчёты и итоговые показатели. Весь годный выпуск считается проданным; затраты включают производство брака. Рентабельность = прибыль / затраты. Порог брака — учебные 2%.</t>
  </si>
  <si>
    <t>Лист</t>
  </si>
  <si>
    <t>Содержание</t>
  </si>
  <si>
    <t>01_ТекстильПром</t>
  </si>
  <si>
    <t>Отчёт цеха, выполнение плана и прибыль</t>
  </si>
  <si>
    <t>02_Сумма_среднее</t>
  </si>
  <si>
    <t>Задача 1: сумма и среднее</t>
  </si>
  <si>
    <t>03_Среднее_без_нулей</t>
  </si>
  <si>
    <t>Задача 2: среднее без нулей</t>
  </si>
  <si>
    <t>04_Скидка</t>
  </si>
  <si>
    <t>Задача 3: скидка в магазине</t>
  </si>
  <si>
    <t>05_Доступ</t>
  </si>
  <si>
    <t>Задача 4: доступ к контенту</t>
  </si>
  <si>
    <t>06_Срок_проекта</t>
  </si>
  <si>
    <t>Задача 5: рабочие дни</t>
  </si>
  <si>
    <t>07_Дедлайн</t>
  </si>
  <si>
    <t>Задача 6: рабочие дни</t>
  </si>
  <si>
    <t>08_Продажи</t>
  </si>
  <si>
    <t>Задача 7: анализ годовых продаж</t>
  </si>
  <si>
    <t>09_Себестоимость</t>
  </si>
  <si>
    <t>Самостоятельная 1: стоимость партии с НДС</t>
  </si>
  <si>
    <t>10_Качество</t>
  </si>
  <si>
    <t>Самостоятельная 2: контроль качества ткани</t>
  </si>
  <si>
    <t>11_Заказ_праздники</t>
  </si>
  <si>
    <t>Самостоятельная 3: срок заказа с праздниками</t>
  </si>
  <si>
    <t>12_Партии_ткани</t>
  </si>
  <si>
    <t>Самостоятельная 4: анализ пяти партий</t>
  </si>
  <si>
    <t>13_В1_Рабочее_время</t>
  </si>
  <si>
    <t>Вариант 1: рабочее время и зарплата</t>
  </si>
  <si>
    <t>14_В2_Склад</t>
  </si>
  <si>
    <t>Вариант 2: остатки сырья и минимальный запас</t>
  </si>
  <si>
    <t>15_В3_Производство</t>
  </si>
  <si>
    <t>Вариант 3: учёт и анализ выпуска</t>
  </si>
  <si>
    <t>16_В4_Доставка</t>
  </si>
  <si>
    <t>Вариант 4: километраж, топливо и перевозки</t>
  </si>
  <si>
    <t>17_В5_Показатели_цеха</t>
  </si>
  <si>
    <t>Вариант 5: комплексный анализ цеха</t>
  </si>
  <si>
    <t>← Содержание</t>
  </si>
</sst>
</file>

<file path=xl/styles.xml><?xml version="1.0" encoding="utf-8"?>
<styleSheet xmlns="http://schemas.openxmlformats.org/spreadsheetml/2006/main">
  <numFmts count="6">
    <numFmt numFmtId="164" formatCode="#,##0.00 &quot;₽&quot;"/>
    <numFmt numFmtId="165" formatCode="#,##0.00"/>
    <numFmt numFmtId="166" formatCode="0.00%"/>
    <numFmt numFmtId="167" formatCode="dd.mm.yyyy"/>
    <numFmt numFmtId="168" formatCode="0%"/>
    <numFmt numFmtId="169" formatCode="hh:mm"/>
  </numFmts>
  <fonts count="6">
    <font>
      <sz val="11"/>
      <color theme="1"/>
      <name val="Calibri"/>
      <family val="2"/>
      <scheme val="minor"/>
    </font>
    <font>
      <b/>
      <sz val="17"/>
      <color rgb="FF173A57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64B80"/>
      <name val="Calibri"/>
      <family val="2"/>
      <scheme val="minor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73A57"/>
        <bgColor indexed="64"/>
      </patternFill>
    </fill>
    <fill>
      <patternFill patternType="solid">
        <fgColor rgb="FFEAF3FF"/>
        <bgColor indexed="64"/>
      </patternFill>
    </fill>
    <fill>
      <patternFill patternType="solid">
        <fgColor rgb="FFEAF5EF"/>
        <bgColor indexed="64"/>
      </patternFill>
    </fill>
  </fills>
  <borders count="2">
    <border>
      <left/>
      <right/>
      <top/>
      <bottom/>
      <diagonal/>
    </border>
    <border>
      <left style="thin">
        <color rgb="FFCDD7E0"/>
      </left>
      <right style="thin">
        <color rgb="FFCDD7E0"/>
      </right>
      <top style="thin">
        <color rgb="FFCDD7E0"/>
      </top>
      <bottom style="thin">
        <color rgb="FFCDD7E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5" fillId="0" borderId="0" xfId="1" applyAlignment="1" applyProtection="1"/>
    <xf numFmtId="1" fontId="0" fillId="4" borderId="1" xfId="0" applyNumberFormat="1" applyFill="1" applyBorder="1" applyAlignment="1">
      <alignment vertical="center"/>
    </xf>
    <xf numFmtId="164" fontId="0" fillId="4" borderId="1" xfId="0" applyNumberForma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5" fontId="0" fillId="4" borderId="1" xfId="0" applyNumberFormat="1" applyFill="1" applyBorder="1" applyAlignment="1">
      <alignment vertical="center"/>
    </xf>
    <xf numFmtId="166" fontId="0" fillId="4" borderId="1" xfId="0" applyNumberFormat="1" applyFill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168" fontId="0" fillId="3" borderId="1" xfId="0" applyNumberFormat="1" applyFill="1" applyBorder="1" applyAlignment="1">
      <alignment vertical="center"/>
    </xf>
    <xf numFmtId="169" fontId="0" fillId="3" borderId="1" xfId="0" applyNumberForma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2">
    <dxf>
      <font>
        <color rgb="FF9C241A"/>
      </font>
      <fill>
        <patternFill>
          <bgColor rgb="FFFCE0DB"/>
        </patternFill>
      </fill>
    </dxf>
    <dxf>
      <font>
        <color rgb="FF205633"/>
      </font>
      <fill>
        <patternFill>
          <bgColor rgb="FFCDEED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Доли продукции в общей прибыли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Прибыль</c:v>
          </c:tx>
          <c:dLbls>
            <c:showPercent val="1"/>
          </c:dLbls>
          <c:cat>
            <c:strRef>
              <c:f>'01_ТекстильПром'!$B$3:$B$6</c:f>
              <c:strCache>
                <c:ptCount val="4"/>
                <c:pt idx="0">
                  <c:v>Платья</c:v>
                </c:pt>
                <c:pt idx="1">
                  <c:v>Футболки</c:v>
                </c:pt>
                <c:pt idx="2">
                  <c:v>Джинсы</c:v>
                </c:pt>
                <c:pt idx="3">
                  <c:v>Юбки</c:v>
                </c:pt>
              </c:strCache>
            </c:strRef>
          </c:cat>
          <c:val>
            <c:numRef>
              <c:f>'01_ТекстильПром'!$J$3:$J$6</c:f>
              <c:numCache>
                <c:formatCode>General</c:formatCode>
                <c:ptCount val="4"/>
                <c:pt idx="0">
                  <c:v>470000</c:v>
                </c:pt>
                <c:pt idx="1">
                  <c:v>75000</c:v>
                </c:pt>
                <c:pt idx="2">
                  <c:v>414000</c:v>
                </c:pt>
                <c:pt idx="3">
                  <c:v>135000</c:v>
                </c:pt>
              </c:numCache>
            </c:numRef>
          </c:val>
        </c:ser>
        <c:firstSliceAng val="0"/>
      </c:pieChart>
    </c:plotArea>
    <c:legend>
      <c:legendPos val="b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Выпуск продукции, шт.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План</c:v>
          </c:tx>
          <c:dLbls>
            <c:showVal val="1"/>
          </c:dLbls>
          <c:cat>
            <c:strRef>
              <c:f>'01_ТекстильПром'!$B$3:$B$6</c:f>
              <c:strCache>
                <c:ptCount val="4"/>
                <c:pt idx="0">
                  <c:v>Платья</c:v>
                </c:pt>
                <c:pt idx="1">
                  <c:v>Футболки</c:v>
                </c:pt>
                <c:pt idx="2">
                  <c:v>Джинсы</c:v>
                </c:pt>
                <c:pt idx="3">
                  <c:v>Юбки</c:v>
                </c:pt>
              </c:strCache>
            </c:strRef>
          </c:cat>
          <c:val>
            <c:numRef>
              <c:f>'01_ТекстильПром'!$D$3:$D$6</c:f>
              <c:numCache>
                <c:formatCode>General</c:formatCode>
                <c:ptCount val="4"/>
                <c:pt idx="0">
                  <c:v>500</c:v>
                </c:pt>
                <c:pt idx="1">
                  <c:v>300</c:v>
                </c:pt>
                <c:pt idx="2">
                  <c:v>400</c:v>
                </c:pt>
                <c:pt idx="3">
                  <c:v>470</c:v>
                </c:pt>
              </c:numCache>
            </c:numRef>
          </c:val>
        </c:ser>
        <c:ser>
          <c:idx val="1"/>
          <c:order val="1"/>
          <c:tx>
            <c:v>Факт</c:v>
          </c:tx>
          <c:dLbls>
            <c:showVal val="1"/>
          </c:dLbls>
          <c:cat>
            <c:strRef>
              <c:f>'01_ТекстильПром'!$B$3:$B$6</c:f>
              <c:strCache>
                <c:ptCount val="4"/>
                <c:pt idx="0">
                  <c:v>Платья</c:v>
                </c:pt>
                <c:pt idx="1">
                  <c:v>Футболки</c:v>
                </c:pt>
                <c:pt idx="2">
                  <c:v>Джинсы</c:v>
                </c:pt>
                <c:pt idx="3">
                  <c:v>Юбки</c:v>
                </c:pt>
              </c:strCache>
            </c:strRef>
          </c:cat>
          <c:val>
            <c:numRef>
              <c:f>'01_ТекстильПром'!$E$3:$E$6</c:f>
              <c:numCache>
                <c:formatCode>General</c:formatCode>
                <c:ptCount val="4"/>
                <c:pt idx="0">
                  <c:v>470</c:v>
                </c:pt>
                <c:pt idx="1">
                  <c:v>300</c:v>
                </c:pt>
                <c:pt idx="2">
                  <c:v>460</c:v>
                </c:pt>
                <c:pt idx="3">
                  <c:v>450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Ежемесячные продажи, тыс. ₽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Продажи</c:v>
          </c:tx>
          <c:marker>
            <c:symbol val="circle"/>
          </c:marker>
          <c:dLbls>
            <c:showVal val="1"/>
          </c:dLbls>
          <c:cat>
            <c:strRef>
              <c:f>'08_Продажи'!$A$2:$A$13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'08_Продажи'!$B$2:$B$13</c:f>
              <c:numCache>
                <c:formatCode>General</c:formatCode>
                <c:ptCount val="12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200</c:v>
                </c:pt>
                <c:pt idx="4">
                  <c:v>180</c:v>
                </c:pt>
                <c:pt idx="5">
                  <c:v>210</c:v>
                </c:pt>
                <c:pt idx="6">
                  <c:v>95</c:v>
                </c:pt>
                <c:pt idx="7">
                  <c:v>130</c:v>
                </c:pt>
                <c:pt idx="8">
                  <c:v>170</c:v>
                </c:pt>
                <c:pt idx="9">
                  <c:v>220</c:v>
                </c:pt>
                <c:pt idx="10">
                  <c:v>250</c:v>
                </c:pt>
                <c:pt idx="11">
                  <c:v>300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Отработанные часы по сотрудникам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Часы</c:v>
          </c:tx>
          <c:dLbls>
            <c:showVal val="1"/>
          </c:dLbls>
          <c:cat>
            <c:strRef>
              <c:f>'13_В1_Рабочее_время'!$A$2:$A$6</c:f>
              <c:strCache>
                <c:ptCount val="5"/>
                <c:pt idx="0">
                  <c:v>Иванов</c:v>
                </c:pt>
                <c:pt idx="1">
                  <c:v>Петрова</c:v>
                </c:pt>
                <c:pt idx="2">
                  <c:v>Сидоров</c:v>
                </c:pt>
                <c:pt idx="3">
                  <c:v>Смирнова</c:v>
                </c:pt>
                <c:pt idx="4">
                  <c:v>Кузнецов</c:v>
                </c:pt>
              </c:strCache>
            </c:strRef>
          </c:cat>
          <c:val>
            <c:numRef>
              <c:f>'13_В1_Рабочее_время'!$F$2:$F$6</c:f>
              <c:numCache>
                <c:formatCode>General</c:formatCode>
                <c:ptCount val="5"/>
                <c:pt idx="0">
                  <c:v>8</c:v>
                </c:pt>
                <c:pt idx="1">
                  <c:v>8</c:v>
                </c:pt>
                <c:pt idx="2">
                  <c:v>7.5</c:v>
                </c:pt>
                <c:pt idx="3">
                  <c:v>7.5</c:v>
                </c:pt>
                <c:pt idx="4">
                  <c:v>8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Структура фонда оплаты труда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Зарплата</c:v>
          </c:tx>
          <c:dLbls>
            <c:showPercent val="1"/>
          </c:dLbls>
          <c:cat>
            <c:strRef>
              <c:f>'13_В1_Рабочее_время'!$A$2:$A$6</c:f>
              <c:strCache>
                <c:ptCount val="5"/>
                <c:pt idx="0">
                  <c:v>Иванов</c:v>
                </c:pt>
                <c:pt idx="1">
                  <c:v>Петрова</c:v>
                </c:pt>
                <c:pt idx="2">
                  <c:v>Сидоров</c:v>
                </c:pt>
                <c:pt idx="3">
                  <c:v>Смирнова</c:v>
                </c:pt>
                <c:pt idx="4">
                  <c:v>Кузнецов</c:v>
                </c:pt>
              </c:strCache>
            </c:strRef>
          </c:cat>
          <c:val>
            <c:numRef>
              <c:f>'13_В1_Рабочее_время'!$H$2:$H$6</c:f>
              <c:numCache>
                <c:formatCode>General</c:formatCode>
                <c:ptCount val="5"/>
                <c:pt idx="0">
                  <c:v>2800</c:v>
                </c:pt>
                <c:pt idx="1">
                  <c:v>3200</c:v>
                </c:pt>
                <c:pt idx="2">
                  <c:v>2850.0</c:v>
                </c:pt>
                <c:pt idx="3">
                  <c:v>3150.0</c:v>
                </c:pt>
                <c:pt idx="4">
                  <c:v>2880</c:v>
                </c:pt>
              </c:numCache>
            </c:numRef>
          </c:val>
        </c:ser>
        <c:firstSliceAng val="0"/>
      </c:pieChart>
    </c:plotArea>
    <c:legend>
      <c:legendPos val="b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Остаток и минимальный запас, м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Остаток</c:v>
          </c:tx>
          <c:dLbls>
            <c:showVal val="1"/>
          </c:dLbls>
          <c:cat>
            <c:strRef>
              <c:f>'14_В2_Склад'!$A$2:$A$6</c:f>
              <c:strCache>
                <c:ptCount val="5"/>
                <c:pt idx="0">
                  <c:v>Хлопок</c:v>
                </c:pt>
                <c:pt idx="1">
                  <c:v>Лён</c:v>
                </c:pt>
                <c:pt idx="2">
                  <c:v>Шёлк</c:v>
                </c:pt>
                <c:pt idx="3">
                  <c:v>Деним</c:v>
                </c:pt>
                <c:pt idx="4">
                  <c:v>Подкладка</c:v>
                </c:pt>
              </c:strCache>
            </c:strRef>
          </c:cat>
          <c:val>
            <c:numRef>
              <c:f>'14_В2_Склад'!$F$2:$F$6</c:f>
              <c:numCache>
                <c:formatCode>General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</c:v>
                </c:pt>
                <c:pt idx="3">
                  <c:v>400</c:v>
                </c:pt>
                <c:pt idx="4">
                  <c:v>80</c:v>
                </c:pt>
              </c:numCache>
            </c:numRef>
          </c:val>
        </c:ser>
        <c:ser>
          <c:idx val="1"/>
          <c:order val="1"/>
          <c:tx>
            <c:v>Минимум</c:v>
          </c:tx>
          <c:dLbls>
            <c:showVal val="1"/>
          </c:dLbls>
          <c:cat>
            <c:strRef>
              <c:f>'14_В2_Склад'!$A$2:$A$6</c:f>
              <c:strCache>
                <c:ptCount val="5"/>
                <c:pt idx="0">
                  <c:v>Хлопок</c:v>
                </c:pt>
                <c:pt idx="1">
                  <c:v>Лён</c:v>
                </c:pt>
                <c:pt idx="2">
                  <c:v>Шёлк</c:v>
                </c:pt>
                <c:pt idx="3">
                  <c:v>Деним</c:v>
                </c:pt>
                <c:pt idx="4">
                  <c:v>Подкладка</c:v>
                </c:pt>
              </c:strCache>
            </c:strRef>
          </c:cat>
          <c:val>
            <c:numRef>
              <c:f>'14_В2_Склад'!$G$2:$G$6</c:f>
              <c:numCache>
                <c:formatCode>General</c:formatCode>
                <c:ptCount val="5"/>
                <c:pt idx="0">
                  <c:v>150</c:v>
                </c:pt>
                <c:pt idx="1">
                  <c:v>100</c:v>
                </c:pt>
                <c:pt idx="2">
                  <c:v>50</c:v>
                </c:pt>
                <c:pt idx="3">
                  <c:v>250</c:v>
                </c:pt>
                <c:pt idx="4">
                  <c:v>100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Структура запасов, м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Остаток</c:v>
          </c:tx>
          <c:dLbls>
            <c:showPercent val="1"/>
          </c:dLbls>
          <c:cat>
            <c:strRef>
              <c:f>'14_В2_Склад'!$A$2:$A$6</c:f>
              <c:strCache>
                <c:ptCount val="5"/>
                <c:pt idx="0">
                  <c:v>Хлопок</c:v>
                </c:pt>
                <c:pt idx="1">
                  <c:v>Лён</c:v>
                </c:pt>
                <c:pt idx="2">
                  <c:v>Шёлк</c:v>
                </c:pt>
                <c:pt idx="3">
                  <c:v>Деним</c:v>
                </c:pt>
                <c:pt idx="4">
                  <c:v>Подкладка</c:v>
                </c:pt>
              </c:strCache>
            </c:strRef>
          </c:cat>
          <c:val>
            <c:numRef>
              <c:f>'14_В2_Склад'!$F$2:$F$6</c:f>
              <c:numCache>
                <c:formatCode>General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</c:v>
                </c:pt>
                <c:pt idx="3">
                  <c:v>400</c:v>
                </c:pt>
                <c:pt idx="4">
                  <c:v>80</c:v>
                </c:pt>
              </c:numCache>
            </c:numRef>
          </c:val>
        </c:ser>
        <c:firstSliceAng val="0"/>
      </c:pieChart>
    </c:plotArea>
    <c:legend>
      <c:legendPos val="b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План и годный выпуск, шт.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План</c:v>
          </c:tx>
          <c:dLbls>
            <c:showVal val="1"/>
          </c:dLbls>
          <c:cat>
            <c:strRef>
              <c:f>'15_В3_Производство'!$A$2:$A$5</c:f>
              <c:strCache>
                <c:ptCount val="4"/>
                <c:pt idx="0">
                  <c:v>Платья</c:v>
                </c:pt>
                <c:pt idx="1">
                  <c:v>Футболки</c:v>
                </c:pt>
                <c:pt idx="2">
                  <c:v>Джинсы</c:v>
                </c:pt>
                <c:pt idx="3">
                  <c:v>Юбки</c:v>
                </c:pt>
              </c:strCache>
            </c:strRef>
          </c:cat>
          <c:val>
            <c:numRef>
              <c:f>'15_В3_Производство'!$B$2:$B$5</c:f>
              <c:numCache>
                <c:formatCode>General</c:formatCode>
                <c:ptCount val="4"/>
                <c:pt idx="0">
                  <c:v>500</c:v>
                </c:pt>
                <c:pt idx="1">
                  <c:v>300</c:v>
                </c:pt>
                <c:pt idx="2">
                  <c:v>400</c:v>
                </c:pt>
                <c:pt idx="3">
                  <c:v>470</c:v>
                </c:pt>
              </c:numCache>
            </c:numRef>
          </c:val>
        </c:ser>
        <c:ser>
          <c:idx val="1"/>
          <c:order val="1"/>
          <c:tx>
            <c:v>Годный выпуск</c:v>
          </c:tx>
          <c:dLbls>
            <c:showVal val="1"/>
          </c:dLbls>
          <c:cat>
            <c:strRef>
              <c:f>'15_В3_Производство'!$A$2:$A$5</c:f>
              <c:strCache>
                <c:ptCount val="4"/>
                <c:pt idx="0">
                  <c:v>Платья</c:v>
                </c:pt>
                <c:pt idx="1">
                  <c:v>Футболки</c:v>
                </c:pt>
                <c:pt idx="2">
                  <c:v>Джинсы</c:v>
                </c:pt>
                <c:pt idx="3">
                  <c:v>Юбки</c:v>
                </c:pt>
              </c:strCache>
            </c:strRef>
          </c:cat>
          <c:val>
            <c:numRef>
              <c:f>'15_В3_Производство'!$E$2:$E$5</c:f>
              <c:numCache>
                <c:formatCode>General</c:formatCode>
                <c:ptCount val="4"/>
                <c:pt idx="0">
                  <c:v>460</c:v>
                </c:pt>
                <c:pt idx="1">
                  <c:v>297</c:v>
                </c:pt>
                <c:pt idx="2">
                  <c:v>454</c:v>
                </c:pt>
                <c:pt idx="3">
                  <c:v>441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Распределение брака по изделиям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Брак</c:v>
          </c:tx>
          <c:dLbls>
            <c:showPercent val="1"/>
          </c:dLbls>
          <c:cat>
            <c:strRef>
              <c:f>'15_В3_Производство'!$A$2:$A$5</c:f>
              <c:strCache>
                <c:ptCount val="4"/>
                <c:pt idx="0">
                  <c:v>Платья</c:v>
                </c:pt>
                <c:pt idx="1">
                  <c:v>Футболки</c:v>
                </c:pt>
                <c:pt idx="2">
                  <c:v>Джинсы</c:v>
                </c:pt>
                <c:pt idx="3">
                  <c:v>Юбки</c:v>
                </c:pt>
              </c:strCache>
            </c:strRef>
          </c:cat>
          <c:val>
            <c:numRef>
              <c:f>'15_В3_Производство'!$D$2:$D$5</c:f>
              <c:numCache>
                <c:formatCode>General</c:formatCode>
                <c:ptCount val="4"/>
                <c:pt idx="0">
                  <c:v>10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</c:numCache>
            </c:numRef>
          </c:val>
        </c:ser>
        <c:firstSliceAng val="0"/>
      </c:pieChart>
    </c:plotArea>
    <c:legend>
      <c:legendPos val="b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Пробег по маршрутам, км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Пробег</c:v>
          </c:tx>
          <c:dLbls>
            <c:showVal val="1"/>
          </c:dLbls>
          <c:cat>
            <c:strRef>
              <c:f>'16_В4_Доставка'!$A$2:$A$5</c:f>
              <c:strCache>
                <c:ptCount val="4"/>
                <c:pt idx="0">
                  <c:v>Склад → магазин А</c:v>
                </c:pt>
                <c:pt idx="1">
                  <c:v>Склад → магазин Б</c:v>
                </c:pt>
                <c:pt idx="2">
                  <c:v>Склад → фабрика</c:v>
                </c:pt>
                <c:pt idx="3">
                  <c:v>Склад → пункт выдачи</c:v>
                </c:pt>
              </c:strCache>
            </c:strRef>
          </c:cat>
          <c:val>
            <c:numRef>
              <c:f>'16_В4_Доставка'!$E$2:$E$5</c:f>
              <c:numCache>
                <c:formatCode>General</c:formatCode>
                <c:ptCount val="4"/>
                <c:pt idx="0">
                  <c:v>200</c:v>
                </c:pt>
                <c:pt idx="1">
                  <c:v>210</c:v>
                </c:pt>
                <c:pt idx="2">
                  <c:v>240</c:v>
                </c:pt>
                <c:pt idx="3">
                  <c:v>180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Доли маршрутов в затратах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Стоимость</c:v>
          </c:tx>
          <c:dLbls>
            <c:showPercent val="1"/>
          </c:dLbls>
          <c:cat>
            <c:strRef>
              <c:f>'16_В4_Доставка'!$A$2:$A$5</c:f>
              <c:strCache>
                <c:ptCount val="4"/>
                <c:pt idx="0">
                  <c:v>Склад → магазин А</c:v>
                </c:pt>
                <c:pt idx="1">
                  <c:v>Склад → магазин Б</c:v>
                </c:pt>
                <c:pt idx="2">
                  <c:v>Склад → фабрика</c:v>
                </c:pt>
                <c:pt idx="3">
                  <c:v>Склад → пункт выдачи</c:v>
                </c:pt>
              </c:strCache>
            </c:strRef>
          </c:cat>
          <c:val>
            <c:numRef>
              <c:f>'16_В4_Доставка'!$J$2:$J$5</c:f>
              <c:numCache>
                <c:formatCode>General</c:formatCode>
                <c:ptCount val="4"/>
                <c:pt idx="0">
                  <c:v>3700.0</c:v>
                </c:pt>
                <c:pt idx="1">
                  <c:v>4021.5</c:v>
                </c:pt>
                <c:pt idx="2">
                  <c:v>4752.0</c:v>
                </c:pt>
                <c:pt idx="3">
                  <c:v>3213.0</c:v>
                </c:pt>
              </c:numCache>
            </c:numRef>
          </c:val>
        </c:ser>
        <c:firstSliceAng val="0"/>
      </c:pieChart>
    </c:plotArea>
    <c:legend>
      <c:legendPos val="b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Затраты и выручка, ₽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Затраты</c:v>
          </c:tx>
          <c:dLbls>
            <c:showVal val="1"/>
          </c:dLbls>
          <c:cat>
            <c:strRef>
              <c:f>'17_В5_Показатели_цеха'!$A$2:$A$5</c:f>
              <c:strCache>
                <c:ptCount val="4"/>
                <c:pt idx="0">
                  <c:v>Платья</c:v>
                </c:pt>
                <c:pt idx="1">
                  <c:v>Футболки</c:v>
                </c:pt>
                <c:pt idx="2">
                  <c:v>Джинсы</c:v>
                </c:pt>
                <c:pt idx="3">
                  <c:v>Юбки</c:v>
                </c:pt>
              </c:strCache>
            </c:strRef>
          </c:cat>
          <c:val>
            <c:numRef>
              <c:f>'17_В5_Показатели_цеха'!$F$2:$F$5</c:f>
              <c:numCache>
                <c:formatCode>General</c:formatCode>
                <c:ptCount val="4"/>
                <c:pt idx="0">
                  <c:v>235000</c:v>
                </c:pt>
                <c:pt idx="1">
                  <c:v>75000</c:v>
                </c:pt>
                <c:pt idx="2">
                  <c:v>368000</c:v>
                </c:pt>
                <c:pt idx="3">
                  <c:v>135000</c:v>
                </c:pt>
              </c:numCache>
            </c:numRef>
          </c:val>
        </c:ser>
        <c:ser>
          <c:idx val="1"/>
          <c:order val="1"/>
          <c:tx>
            <c:v>Выручка</c:v>
          </c:tx>
          <c:dLbls>
            <c:showVal val="1"/>
          </c:dLbls>
          <c:cat>
            <c:strRef>
              <c:f>'17_В5_Показатели_цеха'!$A$2:$A$5</c:f>
              <c:strCache>
                <c:ptCount val="4"/>
                <c:pt idx="0">
                  <c:v>Платья</c:v>
                </c:pt>
                <c:pt idx="1">
                  <c:v>Футболки</c:v>
                </c:pt>
                <c:pt idx="2">
                  <c:v>Джинсы</c:v>
                </c:pt>
                <c:pt idx="3">
                  <c:v>Юбки</c:v>
                </c:pt>
              </c:strCache>
            </c:strRef>
          </c:cat>
          <c:val>
            <c:numRef>
              <c:f>'17_В5_Показатели_цеха'!$G$2:$G$5</c:f>
              <c:numCache>
                <c:formatCode>General</c:formatCode>
                <c:ptCount val="4"/>
                <c:pt idx="0">
                  <c:v>690000</c:v>
                </c:pt>
                <c:pt idx="1">
                  <c:v>148500</c:v>
                </c:pt>
                <c:pt idx="2">
                  <c:v>771800</c:v>
                </c:pt>
                <c:pt idx="3">
                  <c:v>264600</c:v>
                </c:pt>
              </c:numCache>
            </c:numRef>
          </c:val>
        </c:ser>
        <c:axId val="50120001"/>
        <c:axId val="50120002"/>
      </c:bar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Вклад изделий в прибыль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Прибыль</c:v>
          </c:tx>
          <c:dLbls>
            <c:showPercent val="1"/>
          </c:dLbls>
          <c:cat>
            <c:strRef>
              <c:f>'17_В5_Показатели_цеха'!$A$2:$A$5</c:f>
              <c:strCache>
                <c:ptCount val="4"/>
                <c:pt idx="0">
                  <c:v>Платья</c:v>
                </c:pt>
                <c:pt idx="1">
                  <c:v>Футболки</c:v>
                </c:pt>
                <c:pt idx="2">
                  <c:v>Джинсы</c:v>
                </c:pt>
                <c:pt idx="3">
                  <c:v>Юбки</c:v>
                </c:pt>
              </c:strCache>
            </c:strRef>
          </c:cat>
          <c:val>
            <c:numRef>
              <c:f>'17_В5_Показатели_цеха'!$H$2:$H$5</c:f>
              <c:numCache>
                <c:formatCode>General</c:formatCode>
                <c:ptCount val="4"/>
                <c:pt idx="0">
                  <c:v>455000</c:v>
                </c:pt>
                <c:pt idx="1">
                  <c:v>73500</c:v>
                </c:pt>
                <c:pt idx="2">
                  <c:v>403800</c:v>
                </c:pt>
                <c:pt idx="3">
                  <c:v>129600</c:v>
                </c:pt>
              </c:numCache>
            </c:numRef>
          </c:val>
        </c:ser>
        <c:firstSliceAng val="0"/>
      </c:pieChart>
    </c:plotArea>
    <c:legend>
      <c:legendPos val="b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5</xdr:col>
      <xdr:colOff>133350</xdr:colOff>
      <xdr:row>18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11</xdr:row>
      <xdr:rowOff>0</xdr:rowOff>
    </xdr:from>
    <xdr:to>
      <xdr:col>9</xdr:col>
      <xdr:colOff>647700</xdr:colOff>
      <xdr:row>18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4</xdr:col>
      <xdr:colOff>314325</xdr:colOff>
      <xdr:row>22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4</xdr:col>
      <xdr:colOff>314325</xdr:colOff>
      <xdr:row>22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15</xdr:row>
      <xdr:rowOff>0</xdr:rowOff>
    </xdr:from>
    <xdr:to>
      <xdr:col>9</xdr:col>
      <xdr:colOff>647700</xdr:colOff>
      <xdr:row>22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4</xdr:col>
      <xdr:colOff>314325</xdr:colOff>
      <xdr:row>22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15</xdr:row>
      <xdr:rowOff>0</xdr:rowOff>
    </xdr:from>
    <xdr:to>
      <xdr:col>9</xdr:col>
      <xdr:colOff>647700</xdr:colOff>
      <xdr:row>22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4</xdr:col>
      <xdr:colOff>314325</xdr:colOff>
      <xdr:row>21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14</xdr:row>
      <xdr:rowOff>0</xdr:rowOff>
    </xdr:from>
    <xdr:to>
      <xdr:col>9</xdr:col>
      <xdr:colOff>647700</xdr:colOff>
      <xdr:row>21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4</xdr:col>
      <xdr:colOff>314325</xdr:colOff>
      <xdr:row>22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15</xdr:row>
      <xdr:rowOff>0</xdr:rowOff>
    </xdr:from>
    <xdr:to>
      <xdr:col>9</xdr:col>
      <xdr:colOff>647700</xdr:colOff>
      <xdr:row>22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4</xdr:col>
      <xdr:colOff>314325</xdr:colOff>
      <xdr:row>26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19</xdr:row>
      <xdr:rowOff>0</xdr:rowOff>
    </xdr:from>
    <xdr:to>
      <xdr:col>9</xdr:col>
      <xdr:colOff>647700</xdr:colOff>
      <xdr:row>26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7"/>
  <sheetViews>
    <sheetView showGridLines="0" tabSelected="1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31.7109375" customWidth="1"/>
    <col min="2" max="2" width="58.7109375" customWidth="1"/>
    <col min="3" max="14" width="19.7109375" customWidth="1"/>
  </cols>
  <sheetData>
    <row r="1" spans="1:8" ht="33.75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33.75" customHeight="1">
      <c r="A2" s="1"/>
      <c r="B2" s="1"/>
      <c r="C2" s="1"/>
      <c r="D2" s="1"/>
      <c r="E2" s="1"/>
      <c r="F2" s="1"/>
      <c r="G2" s="1"/>
      <c r="H2" s="1"/>
    </row>
    <row r="4" spans="1:8" ht="32.25" customHeight="1">
      <c r="A4" s="2" t="s">
        <v>1</v>
      </c>
      <c r="B4" s="2"/>
      <c r="C4" s="2"/>
      <c r="D4" s="2"/>
      <c r="E4" s="2"/>
      <c r="F4" s="2"/>
      <c r="G4" s="2"/>
      <c r="H4" s="2"/>
    </row>
    <row r="5" spans="1:8" ht="33.75" customHeight="1">
      <c r="A5" s="2"/>
      <c r="B5" s="2"/>
      <c r="C5" s="2"/>
      <c r="D5" s="2"/>
      <c r="E5" s="2"/>
      <c r="F5" s="2"/>
      <c r="G5" s="2"/>
      <c r="H5" s="2"/>
    </row>
    <row r="7" spans="1:8" ht="32.25" customHeight="1">
      <c r="A7" s="2" t="s">
        <v>2</v>
      </c>
      <c r="B7" s="2"/>
      <c r="C7" s="2"/>
      <c r="D7" s="2"/>
      <c r="E7" s="2"/>
      <c r="F7" s="2"/>
      <c r="G7" s="2"/>
      <c r="H7" s="2"/>
    </row>
    <row r="8" spans="1:8" ht="33.75" customHeight="1">
      <c r="A8" s="2"/>
      <c r="B8" s="2"/>
      <c r="C8" s="2"/>
      <c r="D8" s="2"/>
      <c r="E8" s="2"/>
      <c r="F8" s="2"/>
      <c r="G8" s="2"/>
      <c r="H8" s="2"/>
    </row>
    <row r="10" spans="1:8" ht="57.75" customHeight="1">
      <c r="A10" s="3" t="s">
        <v>174</v>
      </c>
      <c r="B10" s="3" t="s">
        <v>175</v>
      </c>
    </row>
    <row r="11" spans="1:8" ht="33.75" customHeight="1">
      <c r="A11" s="4" t="s">
        <v>176</v>
      </c>
      <c r="B11" s="5" t="s">
        <v>177</v>
      </c>
    </row>
    <row r="12" spans="1:8" ht="33.75" customHeight="1">
      <c r="A12" s="4" t="s">
        <v>178</v>
      </c>
      <c r="B12" s="5" t="s">
        <v>179</v>
      </c>
    </row>
    <row r="13" spans="1:8" ht="33.75" customHeight="1">
      <c r="A13" s="4" t="s">
        <v>180</v>
      </c>
      <c r="B13" s="5" t="s">
        <v>181</v>
      </c>
    </row>
    <row r="14" spans="1:8" ht="33.75" customHeight="1">
      <c r="A14" s="4" t="s">
        <v>182</v>
      </c>
      <c r="B14" s="5" t="s">
        <v>183</v>
      </c>
    </row>
    <row r="15" spans="1:8" ht="33.75" customHeight="1">
      <c r="A15" s="4" t="s">
        <v>184</v>
      </c>
      <c r="B15" s="5" t="s">
        <v>185</v>
      </c>
    </row>
    <row r="16" spans="1:8" ht="33.75" customHeight="1">
      <c r="A16" s="4" t="s">
        <v>186</v>
      </c>
      <c r="B16" s="5" t="s">
        <v>187</v>
      </c>
    </row>
    <row r="17" spans="1:2" ht="33.75" customHeight="1">
      <c r="A17" s="4" t="s">
        <v>188</v>
      </c>
      <c r="B17" s="5" t="s">
        <v>189</v>
      </c>
    </row>
    <row r="18" spans="1:2" ht="33.75" customHeight="1">
      <c r="A18" s="4" t="s">
        <v>190</v>
      </c>
      <c r="B18" s="5" t="s">
        <v>191</v>
      </c>
    </row>
    <row r="19" spans="1:2" ht="33.75" customHeight="1">
      <c r="A19" s="4" t="s">
        <v>192</v>
      </c>
      <c r="B19" s="5" t="s">
        <v>193</v>
      </c>
    </row>
    <row r="20" spans="1:2" ht="33.75" customHeight="1">
      <c r="A20" s="4" t="s">
        <v>194</v>
      </c>
      <c r="B20" s="5" t="s">
        <v>195</v>
      </c>
    </row>
    <row r="21" spans="1:2" ht="33.75" customHeight="1">
      <c r="A21" s="4" t="s">
        <v>196</v>
      </c>
      <c r="B21" s="5" t="s">
        <v>197</v>
      </c>
    </row>
    <row r="22" spans="1:2" ht="33.75" customHeight="1">
      <c r="A22" s="4" t="s">
        <v>198</v>
      </c>
      <c r="B22" s="5" t="s">
        <v>199</v>
      </c>
    </row>
    <row r="23" spans="1:2" ht="33.75" customHeight="1">
      <c r="A23" s="4" t="s">
        <v>200</v>
      </c>
      <c r="B23" s="5" t="s">
        <v>201</v>
      </c>
    </row>
    <row r="24" spans="1:2" ht="33.75" customHeight="1">
      <c r="A24" s="4" t="s">
        <v>202</v>
      </c>
      <c r="B24" s="5" t="s">
        <v>203</v>
      </c>
    </row>
    <row r="25" spans="1:2" ht="33.75" customHeight="1">
      <c r="A25" s="4" t="s">
        <v>204</v>
      </c>
      <c r="B25" s="5" t="s">
        <v>205</v>
      </c>
    </row>
    <row r="26" spans="1:2" ht="33.75" customHeight="1">
      <c r="A26" s="4" t="s">
        <v>206</v>
      </c>
      <c r="B26" s="5" t="s">
        <v>207</v>
      </c>
    </row>
    <row r="27" spans="1:2" ht="33.75" customHeight="1">
      <c r="A27" s="4" t="s">
        <v>208</v>
      </c>
      <c r="B27" s="5" t="s">
        <v>209</v>
      </c>
    </row>
  </sheetData>
  <mergeCells count="3">
    <mergeCell ref="A1:H2"/>
    <mergeCell ref="A4:H5"/>
    <mergeCell ref="A7:H8"/>
  </mergeCells>
  <hyperlinks>
    <hyperlink ref="A11" location="'01_ТекстильПром'!A1" display="01_ТекстильПром"/>
    <hyperlink ref="A12" location="'02_Сумма_среднее'!A1" display="02_Сумма_среднее"/>
    <hyperlink ref="A13" location="'03_Среднее_без_нулей'!A1" display="03_Среднее_без_нулей"/>
    <hyperlink ref="A14" location="'04_Скидка'!A1" display="04_Скидка"/>
    <hyperlink ref="A15" location="'05_Доступ'!A1" display="05_Доступ"/>
    <hyperlink ref="A16" location="'06_Срок_проекта'!A1" display="06_Срок_проекта"/>
    <hyperlink ref="A17" location="'07_Дедлайн'!A1" display="07_Дедлайн"/>
    <hyperlink ref="A18" location="'08_Продажи'!A1" display="08_Продажи"/>
    <hyperlink ref="A19" location="'09_Себестоимость'!A1" display="09_Себестоимость"/>
    <hyperlink ref="A20" location="'10_Качество'!A1" display="10_Качество"/>
    <hyperlink ref="A21" location="'11_Заказ_праздники'!A1" display="11_Заказ_праздники"/>
    <hyperlink ref="A22" location="'12_Партии_ткани'!A1" display="12_Партии_ткани"/>
    <hyperlink ref="A23" location="'13_В1_Рабочее_время'!A1" display="13_В1_Рабочее_время"/>
    <hyperlink ref="A24" location="'14_В2_Склад'!A1" display="14_В2_Склад"/>
    <hyperlink ref="A25" location="'15_В3_Производство'!A1" display="15_В3_Производство"/>
    <hyperlink ref="A26" location="'16_В4_Доставка'!A1" display="16_В4_Доставка"/>
    <hyperlink ref="A27" location="'17_В5_Показатели_цеха'!A1" display="17_В5_Показатели_цеха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0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6.7109375" customWidth="1"/>
    <col min="2" max="2" width="20.7109375" customWidth="1"/>
    <col min="3" max="14" width="19.7109375" customWidth="1"/>
  </cols>
  <sheetData>
    <row r="1" spans="1:16" ht="33.75" customHeight="1">
      <c r="A1" s="1" t="s">
        <v>3</v>
      </c>
      <c r="B1" s="1"/>
      <c r="C1" s="1"/>
      <c r="D1" s="1"/>
      <c r="E1" s="1"/>
      <c r="F1" s="1"/>
      <c r="G1" s="1"/>
      <c r="H1" s="1"/>
      <c r="I1" s="1"/>
      <c r="J1" s="1"/>
      <c r="P1" s="6" t="s">
        <v>210</v>
      </c>
    </row>
    <row r="2" spans="1:16" ht="57.75" customHeight="1">
      <c r="A2" s="3" t="s">
        <v>4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3" t="s">
        <v>12</v>
      </c>
      <c r="J2" s="3" t="s">
        <v>13</v>
      </c>
    </row>
    <row r="3" spans="1:16" ht="33.75" customHeight="1">
      <c r="A3" s="4">
        <v>1</v>
      </c>
      <c r="B3" s="4" t="s">
        <v>14</v>
      </c>
      <c r="C3" s="4" t="s">
        <v>15</v>
      </c>
      <c r="D3" s="4">
        <v>500</v>
      </c>
      <c r="E3" s="4">
        <v>470</v>
      </c>
      <c r="F3" s="7">
        <f>E3*100/D3</f>
        <v>94.0</v>
      </c>
      <c r="G3" s="4">
        <v>500</v>
      </c>
      <c r="H3" s="4">
        <v>1500</v>
      </c>
      <c r="I3" s="8">
        <f>H3-G3</f>
        <v>1000</v>
      </c>
      <c r="J3" s="8">
        <f>I3*E3</f>
        <v>470000</v>
      </c>
    </row>
    <row r="4" spans="1:16" ht="33.75" customHeight="1">
      <c r="A4" s="4">
        <v>2</v>
      </c>
      <c r="B4" s="4" t="s">
        <v>16</v>
      </c>
      <c r="C4" s="4" t="s">
        <v>15</v>
      </c>
      <c r="D4" s="4">
        <v>300</v>
      </c>
      <c r="E4" s="4">
        <v>300</v>
      </c>
      <c r="F4" s="7">
        <f>E4*100/D4</f>
        <v>100.0</v>
      </c>
      <c r="G4" s="4">
        <v>250</v>
      </c>
      <c r="H4" s="4">
        <v>500</v>
      </c>
      <c r="I4" s="8">
        <f>H4-G4</f>
        <v>250</v>
      </c>
      <c r="J4" s="8">
        <f>I4*E4</f>
        <v>75000</v>
      </c>
    </row>
    <row r="5" spans="1:16" ht="33.75" customHeight="1">
      <c r="A5" s="4">
        <v>3</v>
      </c>
      <c r="B5" s="4" t="s">
        <v>17</v>
      </c>
      <c r="C5" s="4" t="s">
        <v>15</v>
      </c>
      <c r="D5" s="4">
        <v>400</v>
      </c>
      <c r="E5" s="4">
        <v>460</v>
      </c>
      <c r="F5" s="7">
        <f>E5*100/D5</f>
        <v>115.0</v>
      </c>
      <c r="G5" s="4">
        <v>800</v>
      </c>
      <c r="H5" s="4">
        <v>1700</v>
      </c>
      <c r="I5" s="8">
        <f>H5-G5</f>
        <v>900</v>
      </c>
      <c r="J5" s="8">
        <f>I5*E5</f>
        <v>414000</v>
      </c>
    </row>
    <row r="6" spans="1:16" ht="33.75" customHeight="1">
      <c r="A6" s="4">
        <v>4</v>
      </c>
      <c r="B6" s="4" t="s">
        <v>18</v>
      </c>
      <c r="C6" s="4" t="s">
        <v>15</v>
      </c>
      <c r="D6" s="4">
        <v>470</v>
      </c>
      <c r="E6" s="4">
        <v>450</v>
      </c>
      <c r="F6" s="7">
        <f>E6*100/D6</f>
        <v>95.74468085106383</v>
      </c>
      <c r="G6" s="4">
        <v>300</v>
      </c>
      <c r="H6" s="4">
        <v>600</v>
      </c>
      <c r="I6" s="8">
        <f>H6-G6</f>
        <v>300</v>
      </c>
      <c r="J6" s="8">
        <f>I6*E6</f>
        <v>135000</v>
      </c>
    </row>
    <row r="7" spans="1:16" ht="33.75" customHeight="1">
      <c r="A7" s="3"/>
      <c r="B7" s="3" t="s">
        <v>19</v>
      </c>
      <c r="D7" s="9">
        <f>SUM(D3:D6)</f>
        <v>1670</v>
      </c>
      <c r="E7" s="9">
        <f>SUM(E3:E6)</f>
        <v>1680</v>
      </c>
      <c r="F7" s="10">
        <f>E7*100/D7</f>
        <v>100.59880239520957</v>
      </c>
      <c r="J7" s="8">
        <f>SUM(J3:J6)</f>
        <v>1094000</v>
      </c>
    </row>
    <row r="9" spans="1:16" ht="32.25" customHeight="1">
      <c r="A9" s="2" t="s">
        <v>20</v>
      </c>
      <c r="B9" s="2"/>
      <c r="C9" s="2"/>
      <c r="D9" s="2"/>
      <c r="E9" s="2"/>
      <c r="F9" s="2"/>
      <c r="G9" s="2"/>
      <c r="H9" s="2"/>
      <c r="I9" s="2"/>
      <c r="J9" s="2"/>
    </row>
    <row r="10" spans="1:16" ht="33.75" customHeight="1">
      <c r="A10" s="2"/>
      <c r="B10" s="2"/>
      <c r="C10" s="2"/>
      <c r="D10" s="2"/>
      <c r="E10" s="2"/>
      <c r="F10" s="2"/>
      <c r="G10" s="2"/>
      <c r="H10" s="2"/>
      <c r="I10" s="2"/>
      <c r="J10" s="2"/>
    </row>
  </sheetData>
  <mergeCells count="2">
    <mergeCell ref="A1:J1"/>
    <mergeCell ref="A9:J10"/>
  </mergeCells>
  <conditionalFormatting sqref="F3:F6">
    <cfRule type="cellIs" dxfId="0" priority="1" operator="lessThan">
      <formula>100</formula>
    </cfRule>
  </conditionalFormatting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3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14" width="19.7109375" customWidth="1"/>
  </cols>
  <sheetData>
    <row r="1" spans="1:16" ht="33.75" customHeight="1">
      <c r="A1" s="4">
        <v>10</v>
      </c>
      <c r="C1" s="5" t="s">
        <v>21</v>
      </c>
      <c r="P1" s="6" t="s">
        <v>210</v>
      </c>
    </row>
    <row r="2" spans="1:16" ht="33.75" customHeight="1">
      <c r="A2" s="4">
        <v>20</v>
      </c>
    </row>
    <row r="3" spans="1:16" ht="33.75" customHeight="1">
      <c r="A3" s="4">
        <v>30</v>
      </c>
      <c r="C3" s="5" t="s">
        <v>22</v>
      </c>
      <c r="D3" s="9">
        <f>SUM(A1:A10)</f>
        <v>550</v>
      </c>
    </row>
    <row r="4" spans="1:16" ht="33.75" customHeight="1">
      <c r="A4" s="4">
        <v>40</v>
      </c>
      <c r="C4" s="5" t="s">
        <v>23</v>
      </c>
      <c r="D4" s="9">
        <f>AVERAGE(A1:A10)</f>
        <v>55</v>
      </c>
    </row>
    <row r="5" spans="1:16" ht="33.75" customHeight="1">
      <c r="A5" s="4">
        <v>50</v>
      </c>
    </row>
    <row r="6" spans="1:16" ht="33.75" customHeight="1">
      <c r="A6" s="4">
        <v>60</v>
      </c>
    </row>
    <row r="7" spans="1:16" ht="33.75" customHeight="1">
      <c r="A7" s="4">
        <v>70</v>
      </c>
    </row>
    <row r="8" spans="1:16" ht="33.75" customHeight="1">
      <c r="A8" s="4">
        <v>80</v>
      </c>
    </row>
    <row r="9" spans="1:16" ht="33.75" customHeight="1">
      <c r="A9" s="4">
        <v>90</v>
      </c>
    </row>
    <row r="10" spans="1:16" ht="33.75" customHeight="1">
      <c r="A10" s="4">
        <v>100</v>
      </c>
    </row>
    <row r="12" spans="1:16" ht="32.25" customHeight="1">
      <c r="A12" s="2" t="s">
        <v>24</v>
      </c>
      <c r="B12" s="2"/>
      <c r="C12" s="2"/>
      <c r="D12" s="2"/>
      <c r="E12" s="2"/>
      <c r="F12" s="2"/>
      <c r="G12" s="2"/>
      <c r="H12" s="2"/>
    </row>
    <row r="13" spans="1:16" ht="33.75" customHeight="1">
      <c r="A13" s="2"/>
      <c r="B13" s="2"/>
      <c r="C13" s="2"/>
      <c r="D13" s="2"/>
      <c r="E13" s="2"/>
      <c r="F13" s="2"/>
      <c r="G13" s="2"/>
      <c r="H13" s="2"/>
    </row>
  </sheetData>
  <mergeCells count="1">
    <mergeCell ref="A12:H13"/>
  </mergeCells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3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14" width="19.7109375" customWidth="1"/>
  </cols>
  <sheetData>
    <row r="1" spans="1:16" ht="33.75" customHeight="1">
      <c r="A1" s="5" t="s">
        <v>25</v>
      </c>
      <c r="B1" s="9">
        <f>AVERAGEIF(G1:G10,"&lt;&gt;0")</f>
        <v>40</v>
      </c>
      <c r="G1" s="4">
        <v>10</v>
      </c>
      <c r="P1" s="6" t="s">
        <v>210</v>
      </c>
    </row>
    <row r="2" spans="1:16" ht="33.75" customHeight="1">
      <c r="G2" s="4">
        <v>0</v>
      </c>
    </row>
    <row r="3" spans="1:16" ht="33.75" customHeight="1">
      <c r="G3" s="4">
        <v>20</v>
      </c>
    </row>
    <row r="4" spans="1:16" ht="33.75" customHeight="1">
      <c r="G4" s="4">
        <v>30</v>
      </c>
    </row>
    <row r="5" spans="1:16" ht="33.75" customHeight="1">
      <c r="G5" s="4">
        <v>0</v>
      </c>
    </row>
    <row r="6" spans="1:16" ht="33.75" customHeight="1">
      <c r="G6" s="4">
        <v>40</v>
      </c>
    </row>
    <row r="7" spans="1:16" ht="33.75" customHeight="1">
      <c r="G7" s="4">
        <v>50</v>
      </c>
    </row>
    <row r="8" spans="1:16" ht="33.75" customHeight="1">
      <c r="G8" s="4">
        <v>0</v>
      </c>
    </row>
    <row r="9" spans="1:16" ht="33.75" customHeight="1">
      <c r="G9" s="4">
        <v>60</v>
      </c>
    </row>
    <row r="10" spans="1:16" ht="33.75" customHeight="1">
      <c r="G10" s="4">
        <v>70</v>
      </c>
    </row>
    <row r="12" spans="1:16" ht="32.25" customHeight="1">
      <c r="A12" s="2" t="s">
        <v>26</v>
      </c>
      <c r="B12" s="2"/>
      <c r="C12" s="2"/>
      <c r="D12" s="2"/>
      <c r="E12" s="2"/>
      <c r="F12" s="2"/>
      <c r="G12" s="2"/>
      <c r="H12" s="2"/>
    </row>
    <row r="13" spans="1:16" ht="33.75" customHeight="1">
      <c r="A13" s="2"/>
      <c r="B13" s="2"/>
      <c r="C13" s="2"/>
      <c r="D13" s="2"/>
      <c r="E13" s="2"/>
      <c r="F13" s="2"/>
      <c r="G13" s="2"/>
      <c r="H13" s="2"/>
    </row>
  </sheetData>
  <mergeCells count="1">
    <mergeCell ref="A12:H13"/>
  </mergeCells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9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14" width="19.7109375" customWidth="1"/>
  </cols>
  <sheetData>
    <row r="1" spans="1:16" ht="33.75" customHeight="1">
      <c r="A1" s="5" t="s">
        <v>27</v>
      </c>
      <c r="B1" s="4">
        <v>6000</v>
      </c>
      <c r="P1" s="6" t="s">
        <v>210</v>
      </c>
    </row>
    <row r="2" spans="1:16" ht="33.75" customHeight="1">
      <c r="A2" s="5" t="s">
        <v>28</v>
      </c>
      <c r="B2" s="8">
        <f>IF(B1&gt;5000,B1*0.9,B1*0.95)</f>
        <v>5400</v>
      </c>
    </row>
    <row r="5" spans="1:16" ht="57.75" customHeight="1">
      <c r="A5" s="3" t="s">
        <v>29</v>
      </c>
      <c r="B5" s="3" t="s">
        <v>28</v>
      </c>
      <c r="C5" s="3" t="s">
        <v>30</v>
      </c>
    </row>
    <row r="6" spans="1:16" ht="33.75" customHeight="1">
      <c r="A6" s="4">
        <v>4000</v>
      </c>
      <c r="B6" s="8">
        <f>IF(A6&gt;5000,A6*0.9,A6*0.95)</f>
        <v>3800.0</v>
      </c>
      <c r="C6" s="11">
        <f>IF(A6&gt;5000,10%,5%)</f>
        <v>0.05</v>
      </c>
    </row>
    <row r="7" spans="1:16" ht="33.75" customHeight="1">
      <c r="A7" s="4">
        <v>5000</v>
      </c>
      <c r="B7" s="8">
        <f>IF(A7&gt;5000,A7*0.9,A7*0.95)</f>
        <v>4750.0</v>
      </c>
      <c r="C7" s="11">
        <f>IF(A7&gt;5000,10%,5%)</f>
        <v>0.05</v>
      </c>
    </row>
    <row r="8" spans="1:16" ht="33.75" customHeight="1">
      <c r="A8" s="4">
        <v>5001</v>
      </c>
      <c r="B8" s="8">
        <f>IF(A8&gt;5000,A8*0.9,A8*0.95)</f>
        <v>4500.900000000001</v>
      </c>
      <c r="C8" s="11">
        <f>IF(A8&gt;5000,10%,5%)</f>
        <v>0.1</v>
      </c>
    </row>
    <row r="9" spans="1:16" ht="33.75" customHeight="1">
      <c r="A9" s="4">
        <v>6000</v>
      </c>
      <c r="B9" s="8">
        <f>IF(A9&gt;5000,A9*0.9,A9*0.95)</f>
        <v>5400.0</v>
      </c>
      <c r="C9" s="11">
        <f>IF(A9&gt;5000,10%,5%)</f>
        <v>0.1</v>
      </c>
    </row>
  </sheetData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0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2" width="19.7109375" customWidth="1"/>
    <col min="3" max="3" width="27.7109375" customWidth="1"/>
    <col min="4" max="14" width="19.7109375" customWidth="1"/>
  </cols>
  <sheetData>
    <row r="1" spans="1:16" ht="33.75" customHeight="1">
      <c r="A1" s="5" t="s">
        <v>31</v>
      </c>
      <c r="C1" s="4">
        <v>18</v>
      </c>
      <c r="P1" s="6" t="s">
        <v>210</v>
      </c>
    </row>
    <row r="2" spans="1:16" ht="33.75" customHeight="1">
      <c r="A2" s="5" t="s">
        <v>32</v>
      </c>
      <c r="C2" s="4" t="s">
        <v>33</v>
      </c>
    </row>
    <row r="3" spans="1:16" ht="33.75" customHeight="1">
      <c r="A3" s="5" t="s">
        <v>34</v>
      </c>
      <c r="C3" s="9" t="str">
        <f>IF(AND(C1&gt;=18,C2="Да"),"Доступ разрешен","Отказано")</f>
        <v>Доступ разрешен</v>
      </c>
    </row>
    <row r="6" spans="1:16" ht="57.75" customHeight="1">
      <c r="A6" s="3" t="s">
        <v>31</v>
      </c>
      <c r="B6" s="3" t="s">
        <v>32</v>
      </c>
      <c r="C6" s="3" t="s">
        <v>34</v>
      </c>
    </row>
    <row r="7" spans="1:16" ht="33.75" customHeight="1">
      <c r="A7" s="4">
        <v>17</v>
      </c>
      <c r="B7" s="4" t="s">
        <v>33</v>
      </c>
      <c r="C7" s="9" t="str">
        <f>IF(AND(A7&gt;=18,B7="Да"),"Доступ разрешен","Отказано")</f>
        <v>Отказано</v>
      </c>
    </row>
    <row r="8" spans="1:16" ht="33.75" customHeight="1">
      <c r="A8" s="4">
        <v>18</v>
      </c>
      <c r="B8" s="4" t="s">
        <v>33</v>
      </c>
      <c r="C8" s="9" t="str">
        <f>IF(AND(A8&gt;=18,B8="Да"),"Доступ разрешен","Отказано")</f>
        <v>Доступ разрешен</v>
      </c>
    </row>
    <row r="9" spans="1:16" ht="33.75" customHeight="1">
      <c r="A9" s="4">
        <v>18</v>
      </c>
      <c r="B9" s="4" t="s">
        <v>35</v>
      </c>
      <c r="C9" s="9" t="str">
        <f>IF(AND(A9&gt;=18,B9="Да"),"Доступ разрешен","Отказано")</f>
        <v>Отказано</v>
      </c>
    </row>
    <row r="10" spans="1:16" ht="33.75" customHeight="1">
      <c r="A10" s="4">
        <v>25</v>
      </c>
      <c r="B10" s="4" t="s">
        <v>35</v>
      </c>
      <c r="C10" s="9" t="str">
        <f>IF(AND(A10&gt;=18,B10="Да"),"Доступ разрешен","Отказано")</f>
        <v>Отказано</v>
      </c>
    </row>
  </sheetData>
  <dataValidations count="1">
    <dataValidation type="list" allowBlank="1" showInputMessage="1" showErrorMessage="1" sqref="C2">
      <formula1>"Да,Нет"</formula1>
    </dataValidation>
  </dataValidations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6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3" width="19.7109375" customWidth="1"/>
    <col min="4" max="4" width="25.7109375" customWidth="1"/>
    <col min="5" max="14" width="19.7109375" customWidth="1"/>
  </cols>
  <sheetData>
    <row r="1" spans="1:16" ht="33.75" customHeight="1">
      <c r="A1" s="12">
        <v>45566</v>
      </c>
      <c r="B1" s="4">
        <v>10</v>
      </c>
      <c r="C1" s="13">
        <f>WORKDAY(A1,B1)</f>
        <v>45580</v>
      </c>
      <c r="D1" s="9" t="str">
        <f>CHOOSE(WEEKDAY(C1,2),"понедельник","вторник","среда","четверг","пятница","суббота","воскресенье")</f>
        <v>вторник</v>
      </c>
      <c r="P1" s="6" t="s">
        <v>210</v>
      </c>
    </row>
    <row r="3" spans="1:16" ht="57.75" customHeight="1">
      <c r="A3" s="3" t="s">
        <v>36</v>
      </c>
      <c r="B3" s="3" t="s">
        <v>37</v>
      </c>
      <c r="C3" s="3" t="s">
        <v>38</v>
      </c>
      <c r="D3" s="3" t="s">
        <v>39</v>
      </c>
    </row>
    <row r="5" spans="1:16" ht="32.25" customHeight="1">
      <c r="A5" s="2" t="s">
        <v>40</v>
      </c>
      <c r="B5" s="2"/>
      <c r="C5" s="2"/>
      <c r="D5" s="2"/>
      <c r="E5" s="2"/>
      <c r="F5" s="2"/>
      <c r="G5" s="2"/>
      <c r="H5" s="2"/>
    </row>
    <row r="6" spans="1:16" ht="33.75" customHeight="1">
      <c r="A6" s="2"/>
      <c r="B6" s="2"/>
      <c r="C6" s="2"/>
      <c r="D6" s="2"/>
      <c r="E6" s="2"/>
      <c r="F6" s="2"/>
      <c r="G6" s="2"/>
      <c r="H6" s="2"/>
    </row>
  </sheetData>
  <mergeCells count="1">
    <mergeCell ref="A5:H6"/>
  </mergeCells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0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3" width="19.7109375" customWidth="1"/>
    <col min="4" max="4" width="25.7109375" customWidth="1"/>
    <col min="5" max="14" width="19.7109375" customWidth="1"/>
  </cols>
  <sheetData>
    <row r="1" spans="1:16" ht="33.75" customHeight="1">
      <c r="A1" s="12">
        <v>45566</v>
      </c>
      <c r="B1" s="4">
        <v>10</v>
      </c>
      <c r="C1" s="13">
        <f>WORKDAY(A1,B1)</f>
        <v>45580</v>
      </c>
      <c r="D1" s="9" t="str">
        <f>CHOOSE(WEEKDAY(C1,2),"понедельник","вторник","среда","четверг","пятница","суббота","воскресенье")</f>
        <v>вторник</v>
      </c>
      <c r="E1" s="9">
        <f>IF(WEEKDAY(C1,2)=5,"Пятница!","")</f>
        <v/>
      </c>
      <c r="P1" s="6" t="s">
        <v>210</v>
      </c>
    </row>
    <row r="3" spans="1:16" ht="57.75" customHeight="1">
      <c r="A3" s="3" t="s">
        <v>36</v>
      </c>
      <c r="B3" s="3" t="s">
        <v>37</v>
      </c>
      <c r="C3" s="3" t="s">
        <v>38</v>
      </c>
      <c r="D3" s="3" t="s">
        <v>39</v>
      </c>
    </row>
    <row r="5" spans="1:16" ht="32.25" customHeight="1">
      <c r="A5" s="2" t="s">
        <v>40</v>
      </c>
      <c r="B5" s="2"/>
      <c r="C5" s="2"/>
      <c r="D5" s="2"/>
      <c r="E5" s="2"/>
      <c r="F5" s="2"/>
      <c r="G5" s="2"/>
      <c r="H5" s="2"/>
    </row>
    <row r="6" spans="1:16" ht="33.75" customHeight="1">
      <c r="A6" s="2"/>
      <c r="B6" s="2"/>
      <c r="C6" s="2"/>
      <c r="D6" s="2"/>
      <c r="E6" s="2"/>
      <c r="F6" s="2"/>
      <c r="G6" s="2"/>
      <c r="H6" s="2"/>
    </row>
    <row r="9" spans="1:16" ht="57.75" customHeight="1">
      <c r="A9" s="3" t="s">
        <v>41</v>
      </c>
      <c r="B9" s="3" t="s">
        <v>42</v>
      </c>
      <c r="C9" s="3" t="s">
        <v>43</v>
      </c>
      <c r="D9" s="3" t="s">
        <v>44</v>
      </c>
    </row>
    <row r="10" spans="1:16" ht="33.75" customHeight="1">
      <c r="A10" s="12">
        <v>45566</v>
      </c>
      <c r="B10" s="4">
        <v>8</v>
      </c>
      <c r="C10" s="13">
        <f>WORKDAY(A10,B10)</f>
        <v>45576</v>
      </c>
      <c r="D10" s="9" t="str">
        <f>IF(WEEKDAY(C10,2)=5,"Пятница!","")</f>
        <v>Пятница!</v>
      </c>
    </row>
  </sheetData>
  <mergeCells count="1">
    <mergeCell ref="A5:H6"/>
  </mergeCells>
  <conditionalFormatting sqref="C1">
    <cfRule type="expression" dxfId="1" priority="1">
      <formula>WEEKDAY(C1,2)=5</formula>
    </cfRule>
  </conditionalFormatting>
  <conditionalFormatting sqref="C10">
    <cfRule type="expression" dxfId="1" priority="2">
      <formula>WEEKDAY(C10,2)=5</formula>
    </cfRule>
  </conditionalFormatting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3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14" width="19.7109375" customWidth="1"/>
  </cols>
  <sheetData>
    <row r="1" spans="1:16" ht="57.75" customHeight="1">
      <c r="A1" s="3" t="s">
        <v>45</v>
      </c>
      <c r="B1" s="3" t="s">
        <v>46</v>
      </c>
      <c r="P1" s="6" t="s">
        <v>210</v>
      </c>
    </row>
    <row r="2" spans="1:16" ht="33.75" customHeight="1">
      <c r="A2" s="4" t="s">
        <v>47</v>
      </c>
      <c r="B2" s="4">
        <v>120</v>
      </c>
      <c r="D2" s="5" t="s">
        <v>59</v>
      </c>
      <c r="E2" s="10">
        <f>AVERAGE(B2:B13)</f>
        <v>176.25</v>
      </c>
    </row>
    <row r="3" spans="1:16" ht="33.75" customHeight="1">
      <c r="A3" s="4" t="s">
        <v>48</v>
      </c>
      <c r="B3" s="4">
        <v>150</v>
      </c>
    </row>
    <row r="4" spans="1:16" ht="33.75" customHeight="1">
      <c r="A4" s="4" t="s">
        <v>49</v>
      </c>
      <c r="B4" s="4">
        <v>90</v>
      </c>
      <c r="D4" s="5" t="s">
        <v>60</v>
      </c>
      <c r="E4" s="9" t="str">
        <f>INDEX(A2:A13,MATCH(MAX(B2:B13),B2:B13,0))</f>
        <v>Декабрь</v>
      </c>
    </row>
    <row r="5" spans="1:16" ht="33.75" customHeight="1">
      <c r="A5" s="4" t="s">
        <v>50</v>
      </c>
      <c r="B5" s="4">
        <v>200</v>
      </c>
    </row>
    <row r="6" spans="1:16" ht="33.75" customHeight="1">
      <c r="A6" s="4" t="s">
        <v>51</v>
      </c>
      <c r="B6" s="4">
        <v>180</v>
      </c>
      <c r="D6" s="5" t="s">
        <v>61</v>
      </c>
      <c r="E6" s="9">
        <f>COUNTIF(B2:B13,"&gt;"&amp;AVERAGE(B2:B13))</f>
        <v>6</v>
      </c>
    </row>
    <row r="7" spans="1:16" ht="33.75" customHeight="1">
      <c r="A7" s="4" t="s">
        <v>52</v>
      </c>
      <c r="B7" s="4">
        <v>210</v>
      </c>
    </row>
    <row r="8" spans="1:16" ht="33.75" customHeight="1">
      <c r="A8" s="4" t="s">
        <v>53</v>
      </c>
      <c r="B8" s="4">
        <v>95</v>
      </c>
      <c r="D8" s="5" t="s">
        <v>62</v>
      </c>
      <c r="E8" s="9">
        <f>SUM(B2:B13)</f>
        <v>2115</v>
      </c>
    </row>
    <row r="9" spans="1:16" ht="33.75" customHeight="1">
      <c r="A9" s="4" t="s">
        <v>54</v>
      </c>
      <c r="B9" s="4">
        <v>130</v>
      </c>
    </row>
    <row r="10" spans="1:16" ht="33.75" customHeight="1">
      <c r="A10" s="4" t="s">
        <v>55</v>
      </c>
      <c r="B10" s="4">
        <v>170</v>
      </c>
    </row>
    <row r="11" spans="1:16" ht="33.75" customHeight="1">
      <c r="A11" s="4" t="s">
        <v>56</v>
      </c>
      <c r="B11" s="4">
        <v>220</v>
      </c>
    </row>
    <row r="12" spans="1:16" ht="33.75" customHeight="1">
      <c r="A12" s="4" t="s">
        <v>57</v>
      </c>
      <c r="B12" s="4">
        <v>250</v>
      </c>
    </row>
    <row r="13" spans="1:16" ht="33.75" customHeight="1">
      <c r="A13" s="4" t="s">
        <v>58</v>
      </c>
      <c r="B13" s="4">
        <v>300</v>
      </c>
    </row>
  </sheetData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9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14" width="19.7109375" customWidth="1"/>
  </cols>
  <sheetData>
    <row r="1" spans="1:16" ht="57.75" customHeight="1">
      <c r="A1" s="3" t="s">
        <v>63</v>
      </c>
      <c r="B1" s="3" t="s">
        <v>64</v>
      </c>
      <c r="P1" s="6" t="s">
        <v>210</v>
      </c>
    </row>
    <row r="2" spans="1:16" ht="33.75" customHeight="1">
      <c r="A2" s="4" t="s">
        <v>65</v>
      </c>
      <c r="B2" s="4">
        <v>3.5</v>
      </c>
    </row>
    <row r="3" spans="1:16" ht="33.75" customHeight="1">
      <c r="A3" s="4" t="s">
        <v>66</v>
      </c>
      <c r="B3" s="4">
        <v>1200</v>
      </c>
    </row>
    <row r="4" spans="1:16" ht="33.75" customHeight="1">
      <c r="A4" s="4" t="s">
        <v>67</v>
      </c>
      <c r="B4" s="4">
        <v>250</v>
      </c>
    </row>
    <row r="5" spans="1:16" ht="33.75" customHeight="1">
      <c r="A5" s="4" t="s">
        <v>68</v>
      </c>
      <c r="B5" s="14">
        <v>0.2</v>
      </c>
    </row>
    <row r="7" spans="1:16" ht="33.75" customHeight="1">
      <c r="A7" s="5" t="s">
        <v>69</v>
      </c>
      <c r="B7" s="8">
        <f>B2*B3*B4</f>
        <v>1050000</v>
      </c>
    </row>
    <row r="8" spans="1:16" ht="33.75" customHeight="1">
      <c r="A8" s="5" t="s">
        <v>70</v>
      </c>
      <c r="B8" s="8">
        <f>B7*B5</f>
        <v>210000</v>
      </c>
    </row>
    <row r="9" spans="1:16" ht="33.75" customHeight="1">
      <c r="A9" s="5" t="s">
        <v>71</v>
      </c>
      <c r="B9" s="8">
        <f>ROUND(B2*B3*B4*(1+$B$5),2)</f>
        <v>1260000</v>
      </c>
    </row>
  </sheetData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0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14" width="19.7109375" customWidth="1"/>
  </cols>
  <sheetData>
    <row r="1" spans="1:16" ht="57.75" customHeight="1">
      <c r="A1" s="3" t="s">
        <v>72</v>
      </c>
      <c r="B1" s="3" t="s">
        <v>73</v>
      </c>
      <c r="C1" s="3" t="s">
        <v>74</v>
      </c>
      <c r="D1" s="3" t="s">
        <v>34</v>
      </c>
      <c r="P1" s="6" t="s">
        <v>210</v>
      </c>
    </row>
    <row r="2" spans="1:16" ht="33.75" customHeight="1">
      <c r="A2" s="4">
        <v>55</v>
      </c>
      <c r="B2" s="4">
        <v>4</v>
      </c>
      <c r="C2" s="4" t="s">
        <v>75</v>
      </c>
      <c r="D2" s="9" t="str">
        <f>IF(AND(A2&gt;=50,OR(B2&lt;=5,C2="Массмаркет")),"Годна","Брак")</f>
        <v>Годна</v>
      </c>
    </row>
    <row r="3" spans="1:16" ht="33.75" customHeight="1">
      <c r="A3" s="4">
        <v>48</v>
      </c>
      <c r="B3" s="4">
        <v>3</v>
      </c>
      <c r="C3" s="4" t="s">
        <v>76</v>
      </c>
      <c r="D3" s="9" t="str">
        <f>IF(AND(A3&gt;=50,OR(B3&lt;=5,C3="Массмаркет")),"Годна","Брак")</f>
        <v>Брак</v>
      </c>
    </row>
    <row r="4" spans="1:16" ht="33.75" customHeight="1">
      <c r="A4" s="4">
        <v>50</v>
      </c>
      <c r="B4" s="4">
        <v>5</v>
      </c>
      <c r="C4" s="4" t="s">
        <v>75</v>
      </c>
      <c r="D4" s="9" t="str">
        <f>IF(AND(A4&gt;=50,OR(B4&lt;=5,C4="Массмаркет")),"Годна","Брак")</f>
        <v>Годна</v>
      </c>
    </row>
    <row r="5" spans="1:16" ht="33.75" customHeight="1">
      <c r="A5" s="4">
        <v>55</v>
      </c>
      <c r="B5" s="4">
        <v>8</v>
      </c>
      <c r="C5" s="4" t="s">
        <v>76</v>
      </c>
      <c r="D5" s="9" t="str">
        <f>IF(AND(A5&gt;=50,OR(B5&lt;=5,C5="Массмаркет")),"Годна","Брак")</f>
        <v>Годна</v>
      </c>
    </row>
    <row r="6" spans="1:16" ht="33.75" customHeight="1">
      <c r="A6" s="4">
        <v>55</v>
      </c>
      <c r="B6" s="4">
        <v>8</v>
      </c>
      <c r="C6" s="4" t="s">
        <v>75</v>
      </c>
      <c r="D6" s="9" t="str">
        <f>IF(AND(A6&gt;=50,OR(B6&lt;=5,C6="Массмаркет")),"Годна","Брак")</f>
        <v>Брак</v>
      </c>
    </row>
    <row r="9" spans="1:16" ht="32.25" customHeight="1">
      <c r="A9" s="2" t="s">
        <v>77</v>
      </c>
      <c r="B9" s="2"/>
      <c r="C9" s="2"/>
      <c r="D9" s="2"/>
      <c r="E9" s="2"/>
      <c r="F9" s="2"/>
      <c r="G9" s="2"/>
      <c r="H9" s="2"/>
    </row>
    <row r="10" spans="1:16" ht="33.75" customHeight="1">
      <c r="A10" s="2"/>
      <c r="B10" s="2"/>
      <c r="C10" s="2"/>
      <c r="D10" s="2"/>
      <c r="E10" s="2"/>
      <c r="F10" s="2"/>
      <c r="G10" s="2"/>
      <c r="H10" s="2"/>
    </row>
  </sheetData>
  <mergeCells count="1">
    <mergeCell ref="A9:H10"/>
  </mergeCells>
  <conditionalFormatting sqref="D2:D6">
    <cfRule type="containsText" dxfId="0" priority="1" operator="containsText" text="Брак">
      <formula>NOT(ISERROR(SEARCH("Брак",D2)))</formula>
    </cfRule>
  </conditionalFormatting>
  <dataValidations count="1">
    <dataValidation type="list" allowBlank="1" showInputMessage="1" showErrorMessage="1" sqref="C2:C6">
      <formula1>"Премиум,Массмаркет"</formula1>
    </dataValidation>
  </dataValidations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6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14" width="19.7109375" customWidth="1"/>
  </cols>
  <sheetData>
    <row r="1" spans="1:16" ht="57.75" customHeight="1">
      <c r="A1" s="3" t="s">
        <v>78</v>
      </c>
      <c r="B1" s="3" t="s">
        <v>79</v>
      </c>
      <c r="C1" s="3" t="s">
        <v>80</v>
      </c>
      <c r="D1" s="3" t="s">
        <v>81</v>
      </c>
      <c r="P1" s="6" t="s">
        <v>210</v>
      </c>
    </row>
    <row r="2" spans="1:16" ht="33.75" customHeight="1">
      <c r="A2" s="12">
        <v>45818</v>
      </c>
      <c r="B2" s="12">
        <v>45820</v>
      </c>
      <c r="C2" s="4">
        <v>15</v>
      </c>
      <c r="D2" s="13">
        <f>WORKDAY.INTL(A2,C2,1,$B$2:$B$3)</f>
        <v>45841</v>
      </c>
    </row>
    <row r="3" spans="1:16" ht="33.75" customHeight="1">
      <c r="B3" s="12">
        <v>45821</v>
      </c>
    </row>
    <row r="5" spans="1:16" ht="32.25" customHeight="1">
      <c r="A5" s="2" t="s">
        <v>82</v>
      </c>
      <c r="B5" s="2"/>
      <c r="C5" s="2"/>
      <c r="D5" s="2"/>
      <c r="E5" s="2"/>
      <c r="F5" s="2"/>
      <c r="G5" s="2"/>
      <c r="H5" s="2"/>
    </row>
    <row r="6" spans="1:16" ht="33.75" customHeight="1">
      <c r="A6" s="2"/>
      <c r="B6" s="2"/>
      <c r="C6" s="2"/>
      <c r="D6" s="2"/>
      <c r="E6" s="2"/>
      <c r="F6" s="2"/>
      <c r="G6" s="2"/>
      <c r="H6" s="2"/>
    </row>
  </sheetData>
  <mergeCells count="1">
    <mergeCell ref="A5:H6"/>
  </mergeCells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6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14" width="19.7109375" customWidth="1"/>
  </cols>
  <sheetData>
    <row r="1" spans="1:16" ht="57.75" customHeight="1">
      <c r="A1" s="3" t="s">
        <v>83</v>
      </c>
      <c r="B1" s="3" t="s">
        <v>84</v>
      </c>
      <c r="C1" s="3" t="s">
        <v>85</v>
      </c>
      <c r="D1" s="3" t="s">
        <v>86</v>
      </c>
      <c r="E1" s="3" t="s">
        <v>87</v>
      </c>
      <c r="F1" s="3" t="s">
        <v>88</v>
      </c>
      <c r="G1" s="3" t="s">
        <v>89</v>
      </c>
      <c r="H1" s="3" t="s">
        <v>90</v>
      </c>
      <c r="P1" s="6" t="s">
        <v>210</v>
      </c>
    </row>
    <row r="2" spans="1:16" ht="33.75" customHeight="1">
      <c r="A2" s="4" t="s">
        <v>91</v>
      </c>
      <c r="B2" s="4">
        <v>1100</v>
      </c>
      <c r="C2" s="4">
        <v>1000</v>
      </c>
      <c r="D2" s="4">
        <v>20</v>
      </c>
      <c r="E2" s="4">
        <v>250</v>
      </c>
      <c r="F2" s="11">
        <f>B2/C2</f>
        <v>1.1</v>
      </c>
      <c r="G2" s="11">
        <f>D2/B2</f>
        <v>0.01818181818181818</v>
      </c>
      <c r="H2" s="8">
        <f>(B2-D2-C2)*E2</f>
        <v>20000</v>
      </c>
    </row>
    <row r="3" spans="1:16" ht="33.75" customHeight="1">
      <c r="A3" s="4" t="s">
        <v>92</v>
      </c>
      <c r="B3" s="4">
        <v>980</v>
      </c>
      <c r="C3" s="4">
        <v>1000</v>
      </c>
      <c r="D3" s="4">
        <v>30</v>
      </c>
      <c r="E3" s="4">
        <v>260</v>
      </c>
      <c r="F3" s="11">
        <f>B3/C3</f>
        <v>0.98</v>
      </c>
      <c r="G3" s="11">
        <f>D3/B3</f>
        <v>0.030612244897959183</v>
      </c>
      <c r="H3" s="8">
        <f>(B3-D3-C3)*E3</f>
        <v>-13000</v>
      </c>
    </row>
    <row r="4" spans="1:16" ht="33.75" customHeight="1">
      <c r="A4" s="4" t="s">
        <v>93</v>
      </c>
      <c r="B4" s="4">
        <v>1250</v>
      </c>
      <c r="C4" s="4">
        <v>1200</v>
      </c>
      <c r="D4" s="4">
        <v>25</v>
      </c>
      <c r="E4" s="4">
        <v>240</v>
      </c>
      <c r="F4" s="11">
        <f>B4/C4</f>
        <v>1.0416666666666667</v>
      </c>
      <c r="G4" s="11">
        <f>D4/B4</f>
        <v>0.02</v>
      </c>
      <c r="H4" s="8">
        <f>(B4-D4-C4)*E4</f>
        <v>6000</v>
      </c>
    </row>
    <row r="5" spans="1:16" ht="33.75" customHeight="1">
      <c r="A5" s="4" t="s">
        <v>94</v>
      </c>
      <c r="B5" s="4">
        <v>900</v>
      </c>
      <c r="C5" s="4">
        <v>950</v>
      </c>
      <c r="D5" s="4">
        <v>45</v>
      </c>
      <c r="E5" s="4">
        <v>270</v>
      </c>
      <c r="F5" s="11">
        <f>B5/C5</f>
        <v>0.9473684210526315</v>
      </c>
      <c r="G5" s="11">
        <f>D5/B5</f>
        <v>0.05</v>
      </c>
      <c r="H5" s="8">
        <f>(B5-D5-C5)*E5</f>
        <v>-25650</v>
      </c>
    </row>
    <row r="6" spans="1:16" ht="33.75" customHeight="1">
      <c r="A6" s="4" t="s">
        <v>95</v>
      </c>
      <c r="B6" s="4">
        <v>1500</v>
      </c>
      <c r="C6" s="4">
        <v>1400</v>
      </c>
      <c r="D6" s="4">
        <v>15</v>
      </c>
      <c r="E6" s="4">
        <v>230</v>
      </c>
      <c r="F6" s="11">
        <f>B6/C6</f>
        <v>1.0714285714285714</v>
      </c>
      <c r="G6" s="11">
        <f>D6/B6</f>
        <v>0.01</v>
      </c>
      <c r="H6" s="8">
        <f>(B6-D6-C6)*E6</f>
        <v>19550</v>
      </c>
    </row>
    <row r="9" spans="1:16" ht="33.75" customHeight="1">
      <c r="A9" s="5" t="s">
        <v>96</v>
      </c>
      <c r="B9" s="11">
        <f>AVERAGE(G2:G6)</f>
        <v>0.025758812615955473</v>
      </c>
    </row>
    <row r="10" spans="1:16" ht="33.75" customHeight="1">
      <c r="A10" s="5" t="s">
        <v>97</v>
      </c>
      <c r="B10" s="9" t="str">
        <f>INDEX(A2:A6,MATCH(MAX(H2:H6),H2:H6,0))</f>
        <v>Партия 1</v>
      </c>
    </row>
    <row r="11" spans="1:16" ht="33.75" customHeight="1">
      <c r="A11" s="5" t="s">
        <v>98</v>
      </c>
      <c r="B11" s="8">
        <f>MAX(H2:H6)</f>
        <v>20000</v>
      </c>
    </row>
    <row r="12" spans="1:16" ht="33.75" customHeight="1">
      <c r="A12" s="5" t="s">
        <v>99</v>
      </c>
      <c r="B12" s="10">
        <f>STDEV(E2:E6)</f>
        <v>15.811388300841896</v>
      </c>
    </row>
    <row r="13" spans="1:16" ht="33.75" customHeight="1">
      <c r="A13" s="5" t="s">
        <v>100</v>
      </c>
      <c r="B13" s="11">
        <f>SUM(D2:D6)/SUM(B2:B6)</f>
        <v>0.02356020942408377</v>
      </c>
    </row>
    <row r="15" spans="1:16" ht="32.25" customHeight="1">
      <c r="A15" s="2" t="s">
        <v>101</v>
      </c>
      <c r="B15" s="2"/>
      <c r="C15" s="2"/>
      <c r="D15" s="2"/>
      <c r="E15" s="2"/>
      <c r="F15" s="2"/>
      <c r="G15" s="2"/>
      <c r="H15" s="2"/>
    </row>
    <row r="16" spans="1:16" ht="33.75" customHeight="1">
      <c r="A16" s="2"/>
      <c r="B16" s="2"/>
      <c r="C16" s="2"/>
      <c r="D16" s="2"/>
      <c r="E16" s="2"/>
      <c r="F16" s="2"/>
      <c r="G16" s="2"/>
      <c r="H16" s="2"/>
    </row>
  </sheetData>
  <mergeCells count="1">
    <mergeCell ref="A15:H16"/>
  </mergeCells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3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14" width="19.7109375" customWidth="1"/>
  </cols>
  <sheetData>
    <row r="1" spans="1:16" ht="57.75" customHeight="1">
      <c r="A1" s="3" t="s">
        <v>102</v>
      </c>
      <c r="B1" s="3" t="s">
        <v>103</v>
      </c>
      <c r="C1" s="3" t="s">
        <v>104</v>
      </c>
      <c r="D1" s="3" t="s">
        <v>43</v>
      </c>
      <c r="E1" s="3" t="s">
        <v>105</v>
      </c>
      <c r="F1" s="3" t="s">
        <v>106</v>
      </c>
      <c r="G1" s="3" t="s">
        <v>107</v>
      </c>
      <c r="H1" s="3" t="s">
        <v>108</v>
      </c>
      <c r="P1" s="6" t="s">
        <v>210</v>
      </c>
    </row>
    <row r="2" spans="1:16" ht="33.75" customHeight="1">
      <c r="A2" s="4" t="s">
        <v>109</v>
      </c>
      <c r="B2" s="12">
        <v>46318</v>
      </c>
      <c r="C2" s="15">
        <v>0.3333333333333333</v>
      </c>
      <c r="D2" s="15">
        <v>0.7083333333333334</v>
      </c>
      <c r="E2" s="4">
        <v>1</v>
      </c>
      <c r="F2" s="10">
        <f>MAX(0,MOD(D2-C2,1)*24-E2)</f>
        <v>8</v>
      </c>
      <c r="G2" s="4">
        <v>350</v>
      </c>
      <c r="H2" s="8">
        <f>ROUND(F2*G2,2)</f>
        <v>2800</v>
      </c>
    </row>
    <row r="3" spans="1:16" ht="33.75" customHeight="1">
      <c r="A3" s="4" t="s">
        <v>110</v>
      </c>
      <c r="B3" s="12">
        <v>46318</v>
      </c>
      <c r="C3" s="15">
        <v>0.375</v>
      </c>
      <c r="D3" s="15">
        <v>0.75</v>
      </c>
      <c r="E3" s="4">
        <v>1</v>
      </c>
      <c r="F3" s="10">
        <f>MAX(0,MOD(D3-C3,1)*24-E3)</f>
        <v>8</v>
      </c>
      <c r="G3" s="4">
        <v>400</v>
      </c>
      <c r="H3" s="8">
        <f>ROUND(F3*G3,2)</f>
        <v>3200</v>
      </c>
    </row>
    <row r="4" spans="1:16" ht="33.75" customHeight="1">
      <c r="A4" s="4" t="s">
        <v>111</v>
      </c>
      <c r="B4" s="12">
        <v>46318</v>
      </c>
      <c r="C4" s="15">
        <v>0.9166666666666666</v>
      </c>
      <c r="D4" s="15">
        <v>0.25</v>
      </c>
      <c r="E4" s="4">
        <v>0.5</v>
      </c>
      <c r="F4" s="10">
        <f>MAX(0,MOD(D4-C4,1)*24-E4)</f>
        <v>7.5</v>
      </c>
      <c r="G4" s="4">
        <v>380</v>
      </c>
      <c r="H4" s="8">
        <f>ROUND(F4*G4,2)</f>
        <v>2850.0</v>
      </c>
    </row>
    <row r="5" spans="1:16" ht="33.75" customHeight="1">
      <c r="A5" s="4" t="s">
        <v>112</v>
      </c>
      <c r="B5" s="12">
        <v>46318</v>
      </c>
      <c r="C5" s="15">
        <v>0.3333333333333333</v>
      </c>
      <c r="D5" s="15">
        <v>0.6666666666666666</v>
      </c>
      <c r="E5" s="4">
        <v>0.5</v>
      </c>
      <c r="F5" s="10">
        <f>MAX(0,MOD(D5-C5,1)*24-E5)</f>
        <v>7.5</v>
      </c>
      <c r="G5" s="4">
        <v>420</v>
      </c>
      <c r="H5" s="8">
        <f>ROUND(F5*G5,2)</f>
        <v>3150.0</v>
      </c>
    </row>
    <row r="6" spans="1:16" ht="33.75" customHeight="1">
      <c r="A6" s="4" t="s">
        <v>113</v>
      </c>
      <c r="B6" s="12">
        <v>46318</v>
      </c>
      <c r="C6" s="15">
        <v>0.4166666666666667</v>
      </c>
      <c r="D6" s="15">
        <v>0.7916666666666666</v>
      </c>
      <c r="E6" s="4">
        <v>1</v>
      </c>
      <c r="F6" s="10">
        <f>MAX(0,MOD(D6-C6,1)*24-E6)</f>
        <v>8</v>
      </c>
      <c r="G6" s="4">
        <v>360</v>
      </c>
      <c r="H6" s="8">
        <f>ROUND(F6*G6,2)</f>
        <v>2880</v>
      </c>
    </row>
    <row r="8" spans="1:16" ht="33.75" customHeight="1">
      <c r="A8" s="5" t="s">
        <v>114</v>
      </c>
      <c r="B8" s="10">
        <f>SUM(F2:F6)</f>
        <v>39.0</v>
      </c>
    </row>
    <row r="9" spans="1:16" ht="33.75" customHeight="1">
      <c r="A9" s="5" t="s">
        <v>115</v>
      </c>
      <c r="B9" s="8">
        <f>SUM(H2:H6)</f>
        <v>14880.0</v>
      </c>
    </row>
    <row r="10" spans="1:16" ht="33.75" customHeight="1">
      <c r="A10" s="5" t="s">
        <v>116</v>
      </c>
      <c r="B10" s="8">
        <f>AVERAGE(H2:H6)</f>
        <v>2976.0</v>
      </c>
    </row>
    <row r="12" spans="1:16" ht="32.25" customHeight="1">
      <c r="A12" s="2" t="s">
        <v>117</v>
      </c>
      <c r="B12" s="2"/>
      <c r="C12" s="2"/>
      <c r="D12" s="2"/>
      <c r="E12" s="2"/>
      <c r="F12" s="2"/>
      <c r="G12" s="2"/>
      <c r="H12" s="2"/>
    </row>
    <row r="13" spans="1:16" ht="33.75" customHeight="1">
      <c r="A13" s="2"/>
      <c r="B13" s="2"/>
      <c r="C13" s="2"/>
      <c r="D13" s="2"/>
      <c r="E13" s="2"/>
      <c r="F13" s="2"/>
      <c r="G13" s="2"/>
      <c r="H13" s="2"/>
    </row>
  </sheetData>
  <mergeCells count="1">
    <mergeCell ref="A12:H13"/>
  </mergeCells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3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14" width="19.7109375" customWidth="1"/>
  </cols>
  <sheetData>
    <row r="1" spans="1:16" ht="57.75" customHeight="1">
      <c r="A1" s="3" t="s">
        <v>118</v>
      </c>
      <c r="B1" s="3" t="s">
        <v>6</v>
      </c>
      <c r="C1" s="3" t="s">
        <v>119</v>
      </c>
      <c r="D1" s="3" t="s">
        <v>120</v>
      </c>
      <c r="E1" s="3" t="s">
        <v>121</v>
      </c>
      <c r="F1" s="3" t="s">
        <v>122</v>
      </c>
      <c r="G1" s="3" t="s">
        <v>123</v>
      </c>
      <c r="H1" s="3" t="s">
        <v>124</v>
      </c>
      <c r="I1" s="3" t="s">
        <v>125</v>
      </c>
      <c r="P1" s="6" t="s">
        <v>210</v>
      </c>
    </row>
    <row r="2" spans="1:16" ht="33.75" customHeight="1">
      <c r="A2" s="4" t="s">
        <v>126</v>
      </c>
      <c r="B2" s="4" t="s">
        <v>127</v>
      </c>
      <c r="C2" s="4">
        <v>500</v>
      </c>
      <c r="D2" s="4">
        <v>200</v>
      </c>
      <c r="E2" s="4">
        <v>600</v>
      </c>
      <c r="F2" s="9">
        <f>C2+D2-E2</f>
        <v>100</v>
      </c>
      <c r="G2" s="4">
        <v>150</v>
      </c>
      <c r="H2" s="9" t="str">
        <f>IF(F2&lt;=G2,"Пополнить","Достаточно")</f>
        <v>Пополнить</v>
      </c>
      <c r="I2" s="9">
        <f>MAX(0,G2-F2)</f>
        <v>50</v>
      </c>
    </row>
    <row r="3" spans="1:16" ht="33.75" customHeight="1">
      <c r="A3" s="4" t="s">
        <v>128</v>
      </c>
      <c r="B3" s="4" t="s">
        <v>127</v>
      </c>
      <c r="C3" s="4">
        <v>300</v>
      </c>
      <c r="D3" s="4">
        <v>100</v>
      </c>
      <c r="E3" s="4">
        <v>200</v>
      </c>
      <c r="F3" s="9">
        <f>C3+D3-E3</f>
        <v>200</v>
      </c>
      <c r="G3" s="4">
        <v>100</v>
      </c>
      <c r="H3" s="9" t="str">
        <f>IF(F3&lt;=G3,"Пополнить","Достаточно")</f>
        <v>Достаточно</v>
      </c>
      <c r="I3" s="9">
        <f>MAX(0,G3-F3)</f>
        <v>0</v>
      </c>
    </row>
    <row r="4" spans="1:16" ht="33.75" customHeight="1">
      <c r="A4" s="4" t="s">
        <v>129</v>
      </c>
      <c r="B4" s="4" t="s">
        <v>127</v>
      </c>
      <c r="C4" s="4">
        <v>150</v>
      </c>
      <c r="D4" s="4">
        <v>50</v>
      </c>
      <c r="E4" s="4">
        <v>170</v>
      </c>
      <c r="F4" s="9">
        <f>C4+D4-E4</f>
        <v>30</v>
      </c>
      <c r="G4" s="4">
        <v>50</v>
      </c>
      <c r="H4" s="9" t="str">
        <f>IF(F4&lt;=G4,"Пополнить","Достаточно")</f>
        <v>Пополнить</v>
      </c>
      <c r="I4" s="9">
        <f>MAX(0,G4-F4)</f>
        <v>20</v>
      </c>
    </row>
    <row r="5" spans="1:16" ht="33.75" customHeight="1">
      <c r="A5" s="4" t="s">
        <v>130</v>
      </c>
      <c r="B5" s="4" t="s">
        <v>127</v>
      </c>
      <c r="C5" s="4">
        <v>800</v>
      </c>
      <c r="D5" s="4">
        <v>300</v>
      </c>
      <c r="E5" s="4">
        <v>700</v>
      </c>
      <c r="F5" s="9">
        <f>C5+D5-E5</f>
        <v>400</v>
      </c>
      <c r="G5" s="4">
        <v>250</v>
      </c>
      <c r="H5" s="9" t="str">
        <f>IF(F5&lt;=G5,"Пополнить","Достаточно")</f>
        <v>Достаточно</v>
      </c>
      <c r="I5" s="9">
        <f>MAX(0,G5-F5)</f>
        <v>0</v>
      </c>
    </row>
    <row r="6" spans="1:16" ht="33.75" customHeight="1">
      <c r="A6" s="4" t="s">
        <v>131</v>
      </c>
      <c r="B6" s="4" t="s">
        <v>127</v>
      </c>
      <c r="C6" s="4">
        <v>400</v>
      </c>
      <c r="D6" s="4">
        <v>100</v>
      </c>
      <c r="E6" s="4">
        <v>420</v>
      </c>
      <c r="F6" s="9">
        <f>C6+D6-E6</f>
        <v>80</v>
      </c>
      <c r="G6" s="4">
        <v>100</v>
      </c>
      <c r="H6" s="9" t="str">
        <f>IF(F6&lt;=G6,"Пополнить","Достаточно")</f>
        <v>Пополнить</v>
      </c>
      <c r="I6" s="9">
        <f>MAX(0,G6-F6)</f>
        <v>20</v>
      </c>
    </row>
    <row r="8" spans="1:16" ht="33.75" customHeight="1">
      <c r="A8" s="5" t="s">
        <v>132</v>
      </c>
      <c r="B8" s="9">
        <f>COUNTIF(H2:H6,"Пополнить")</f>
        <v>3</v>
      </c>
    </row>
    <row r="9" spans="1:16" ht="33.75" customHeight="1">
      <c r="A9" s="5" t="s">
        <v>133</v>
      </c>
      <c r="B9" s="9">
        <f>SUM(I2:I6)</f>
        <v>90</v>
      </c>
    </row>
    <row r="10" spans="1:16" ht="33.75" customHeight="1">
      <c r="A10" s="5" t="s">
        <v>134</v>
      </c>
      <c r="B10" s="9">
        <f>SUM(F2:F6)</f>
        <v>810</v>
      </c>
    </row>
    <row r="12" spans="1:16" ht="32.25" customHeight="1">
      <c r="A12" s="2" t="s">
        <v>135</v>
      </c>
      <c r="B12" s="2"/>
      <c r="C12" s="2"/>
      <c r="D12" s="2"/>
      <c r="E12" s="2"/>
      <c r="F12" s="2"/>
      <c r="G12" s="2"/>
      <c r="H12" s="2"/>
    </row>
    <row r="13" spans="1:16" ht="33.75" customHeight="1">
      <c r="A13" s="2"/>
      <c r="B13" s="2"/>
      <c r="C13" s="2"/>
      <c r="D13" s="2"/>
      <c r="E13" s="2"/>
      <c r="F13" s="2"/>
      <c r="G13" s="2"/>
      <c r="H13" s="2"/>
    </row>
  </sheetData>
  <mergeCells count="1">
    <mergeCell ref="A12:H13"/>
  </mergeCells>
  <conditionalFormatting sqref="F2:I6">
    <cfRule type="expression" dxfId="0" priority="1">
      <formula>$F2&lt;=$G2</formula>
    </cfRule>
  </conditionalFormatting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2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14" width="19.7109375" customWidth="1"/>
  </cols>
  <sheetData>
    <row r="1" spans="1:16" ht="57.75" customHeight="1">
      <c r="A1" s="3" t="s">
        <v>136</v>
      </c>
      <c r="B1" s="3" t="s">
        <v>137</v>
      </c>
      <c r="C1" s="3" t="s">
        <v>138</v>
      </c>
      <c r="D1" s="3" t="s">
        <v>139</v>
      </c>
      <c r="E1" s="3" t="s">
        <v>140</v>
      </c>
      <c r="F1" s="3" t="s">
        <v>141</v>
      </c>
      <c r="G1" s="3" t="s">
        <v>89</v>
      </c>
      <c r="H1" s="3" t="s">
        <v>142</v>
      </c>
      <c r="I1" s="3" t="s">
        <v>124</v>
      </c>
      <c r="P1" s="6" t="s">
        <v>210</v>
      </c>
    </row>
    <row r="2" spans="1:16" ht="33.75" customHeight="1">
      <c r="A2" s="4" t="s">
        <v>14</v>
      </c>
      <c r="B2" s="4">
        <v>500</v>
      </c>
      <c r="C2" s="4">
        <v>470</v>
      </c>
      <c r="D2" s="4">
        <v>10</v>
      </c>
      <c r="E2" s="9">
        <f>C2-D2</f>
        <v>460</v>
      </c>
      <c r="F2" s="11">
        <f>IFERROR(E2/B2,0)</f>
        <v>0.92</v>
      </c>
      <c r="G2" s="11">
        <f>IFERROR(D2/C2,0)</f>
        <v>0.02127659574468085</v>
      </c>
      <c r="H2" s="9">
        <f>E2-B2</f>
        <v>-40</v>
      </c>
      <c r="I2" s="9" t="str">
        <f>IF(F2&gt;=1,"Выполнен","Не выполнен")</f>
        <v>Не выполнен</v>
      </c>
    </row>
    <row r="3" spans="1:16" ht="33.75" customHeight="1">
      <c r="A3" s="4" t="s">
        <v>16</v>
      </c>
      <c r="B3" s="4">
        <v>300</v>
      </c>
      <c r="C3" s="4">
        <v>300</v>
      </c>
      <c r="D3" s="4">
        <v>3</v>
      </c>
      <c r="E3" s="9">
        <f>C3-D3</f>
        <v>297</v>
      </c>
      <c r="F3" s="11">
        <f>IFERROR(E3/B3,0)</f>
        <v>0.99</v>
      </c>
      <c r="G3" s="11">
        <f>IFERROR(D3/C3,0)</f>
        <v>0.01</v>
      </c>
      <c r="H3" s="9">
        <f>E3-B3</f>
        <v>-3</v>
      </c>
      <c r="I3" s="9" t="str">
        <f>IF(F3&gt;=1,"Выполнен","Не выполнен")</f>
        <v>Не выполнен</v>
      </c>
    </row>
    <row r="4" spans="1:16" ht="33.75" customHeight="1">
      <c r="A4" s="4" t="s">
        <v>17</v>
      </c>
      <c r="B4" s="4">
        <v>400</v>
      </c>
      <c r="C4" s="4">
        <v>460</v>
      </c>
      <c r="D4" s="4">
        <v>6</v>
      </c>
      <c r="E4" s="9">
        <f>C4-D4</f>
        <v>454</v>
      </c>
      <c r="F4" s="11">
        <f>IFERROR(E4/B4,0)</f>
        <v>1.135</v>
      </c>
      <c r="G4" s="11">
        <f>IFERROR(D4/C4,0)</f>
        <v>0.013043478260869565</v>
      </c>
      <c r="H4" s="9">
        <f>E4-B4</f>
        <v>54</v>
      </c>
      <c r="I4" s="9" t="str">
        <f>IF(F4&gt;=1,"Выполнен","Не выполнен")</f>
        <v>Выполнен</v>
      </c>
    </row>
    <row r="5" spans="1:16" ht="33.75" customHeight="1">
      <c r="A5" s="4" t="s">
        <v>18</v>
      </c>
      <c r="B5" s="4">
        <v>470</v>
      </c>
      <c r="C5" s="4">
        <v>450</v>
      </c>
      <c r="D5" s="4">
        <v>9</v>
      </c>
      <c r="E5" s="9">
        <f>C5-D5</f>
        <v>441</v>
      </c>
      <c r="F5" s="11">
        <f>IFERROR(E5/B5,0)</f>
        <v>0.9382978723404255</v>
      </c>
      <c r="G5" s="11">
        <f>IFERROR(D5/C5,0)</f>
        <v>0.02</v>
      </c>
      <c r="H5" s="9">
        <f>E5-B5</f>
        <v>-29</v>
      </c>
      <c r="I5" s="9" t="str">
        <f>IF(F5&gt;=1,"Выполнен","Не выполнен")</f>
        <v>Не выполнен</v>
      </c>
    </row>
    <row r="7" spans="1:16" ht="33.75" customHeight="1">
      <c r="A7" s="5" t="s">
        <v>140</v>
      </c>
      <c r="B7" s="9">
        <f>SUM(E2:E5)</f>
        <v>1652</v>
      </c>
    </row>
    <row r="8" spans="1:16" ht="33.75" customHeight="1">
      <c r="A8" s="5" t="s">
        <v>143</v>
      </c>
      <c r="B8" s="11">
        <f>IFERROR(SUM(E2:E5)/SUM(B2:B5),0)</f>
        <v>0.9892215568862276</v>
      </c>
    </row>
    <row r="9" spans="1:16" ht="33.75" customHeight="1">
      <c r="A9" s="5" t="s">
        <v>144</v>
      </c>
      <c r="B9" s="11">
        <f>IFERROR(SUM(D2:D5)/SUM(C2:C5),0)</f>
        <v>0.016666666666666666</v>
      </c>
    </row>
    <row r="11" spans="1:16" ht="32.25" customHeight="1">
      <c r="A11" s="2" t="s">
        <v>145</v>
      </c>
      <c r="B11" s="2"/>
      <c r="C11" s="2"/>
      <c r="D11" s="2"/>
      <c r="E11" s="2"/>
      <c r="F11" s="2"/>
      <c r="G11" s="2"/>
      <c r="H11" s="2"/>
    </row>
    <row r="12" spans="1:16" ht="33.75" customHeight="1">
      <c r="A12" s="2"/>
      <c r="B12" s="2"/>
      <c r="C12" s="2"/>
      <c r="D12" s="2"/>
      <c r="E12" s="2"/>
      <c r="F12" s="2"/>
      <c r="G12" s="2"/>
      <c r="H12" s="2"/>
    </row>
  </sheetData>
  <mergeCells count="1">
    <mergeCell ref="A11:H12"/>
  </mergeCells>
  <conditionalFormatting sqref="F2:F5">
    <cfRule type="cellIs" dxfId="0" priority="1" operator="lessThan">
      <formula>1</formula>
    </cfRule>
  </conditionalFormatting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3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14" width="19.7109375" customWidth="1"/>
  </cols>
  <sheetData>
    <row r="1" spans="1:16" ht="57.75" customHeight="1">
      <c r="A1" s="3" t="s">
        <v>146</v>
      </c>
      <c r="B1" s="3" t="s">
        <v>147</v>
      </c>
      <c r="C1" s="3" t="s">
        <v>148</v>
      </c>
      <c r="D1" s="3" t="s">
        <v>149</v>
      </c>
      <c r="E1" s="3" t="s">
        <v>150</v>
      </c>
      <c r="F1" s="3" t="s">
        <v>151</v>
      </c>
      <c r="G1" s="3" t="s">
        <v>152</v>
      </c>
      <c r="H1" s="3" t="s">
        <v>153</v>
      </c>
      <c r="I1" s="3" t="s">
        <v>154</v>
      </c>
      <c r="J1" s="3" t="s">
        <v>155</v>
      </c>
      <c r="L1" s="3" t="s">
        <v>156</v>
      </c>
      <c r="M1" s="3" t="s">
        <v>157</v>
      </c>
      <c r="P1" s="6" t="s">
        <v>210</v>
      </c>
    </row>
    <row r="2" spans="1:16" ht="33.75" customHeight="1">
      <c r="A2" s="4" t="s">
        <v>158</v>
      </c>
      <c r="B2" s="4">
        <v>20</v>
      </c>
      <c r="C2" s="4">
        <v>5</v>
      </c>
      <c r="D2" s="4">
        <v>2</v>
      </c>
      <c r="E2" s="9">
        <f>B2*C2*D2</f>
        <v>200</v>
      </c>
      <c r="F2" s="4">
        <v>10</v>
      </c>
      <c r="G2" s="10">
        <f>ROUND(E2*F2/100,2)</f>
        <v>20.0</v>
      </c>
      <c r="H2" s="8">
        <f>ROUND(G2*$L$2,2)</f>
        <v>1300.0</v>
      </c>
      <c r="I2" s="8">
        <f>E2*$M$2</f>
        <v>2400</v>
      </c>
      <c r="J2" s="8">
        <f>SUM(H2:I2)</f>
        <v>3700.0</v>
      </c>
      <c r="L2" s="4">
        <v>65</v>
      </c>
      <c r="M2" s="4">
        <v>12</v>
      </c>
    </row>
    <row r="3" spans="1:16" ht="33.75" customHeight="1">
      <c r="A3" s="4" t="s">
        <v>159</v>
      </c>
      <c r="B3" s="4">
        <v>35</v>
      </c>
      <c r="C3" s="4">
        <v>3</v>
      </c>
      <c r="D3" s="4">
        <v>2</v>
      </c>
      <c r="E3" s="9">
        <f>B3*C3*D3</f>
        <v>210</v>
      </c>
      <c r="F3" s="4">
        <v>11</v>
      </c>
      <c r="G3" s="10">
        <f>ROUND(E3*F3/100,2)</f>
        <v>23.1</v>
      </c>
      <c r="H3" s="8">
        <f>ROUND(G3*$L$2,2)</f>
        <v>1501.5</v>
      </c>
      <c r="I3" s="8">
        <f>E3*$M$2</f>
        <v>2520</v>
      </c>
      <c r="J3" s="8">
        <f>SUM(H3:I3)</f>
        <v>4021.5</v>
      </c>
    </row>
    <row r="4" spans="1:16" ht="33.75" customHeight="1">
      <c r="A4" s="4" t="s">
        <v>160</v>
      </c>
      <c r="B4" s="4">
        <v>60</v>
      </c>
      <c r="C4" s="4">
        <v>2</v>
      </c>
      <c r="D4" s="4">
        <v>2</v>
      </c>
      <c r="E4" s="9">
        <f>B4*C4*D4</f>
        <v>240</v>
      </c>
      <c r="F4" s="4">
        <v>12</v>
      </c>
      <c r="G4" s="10">
        <f>ROUND(E4*F4/100,2)</f>
        <v>28.8</v>
      </c>
      <c r="H4" s="8">
        <f>ROUND(G4*$L$2,2)</f>
        <v>1872.0</v>
      </c>
      <c r="I4" s="8">
        <f>E4*$M$2</f>
        <v>2880</v>
      </c>
      <c r="J4" s="8">
        <f>SUM(H4:I4)</f>
        <v>4752.0</v>
      </c>
    </row>
    <row r="5" spans="1:16" ht="33.75" customHeight="1">
      <c r="A5" s="4" t="s">
        <v>161</v>
      </c>
      <c r="B5" s="4">
        <v>15</v>
      </c>
      <c r="C5" s="4">
        <v>6</v>
      </c>
      <c r="D5" s="4">
        <v>2</v>
      </c>
      <c r="E5" s="9">
        <f>B5*C5*D5</f>
        <v>180</v>
      </c>
      <c r="F5" s="4">
        <v>9</v>
      </c>
      <c r="G5" s="10">
        <f>ROUND(E5*F5/100,2)</f>
        <v>16.2</v>
      </c>
      <c r="H5" s="8">
        <f>ROUND(G5*$L$2,2)</f>
        <v>1053.0</v>
      </c>
      <c r="I5" s="8">
        <f>E5*$M$2</f>
        <v>2160</v>
      </c>
      <c r="J5" s="8">
        <f>SUM(H5:I5)</f>
        <v>3213.0</v>
      </c>
    </row>
    <row r="7" spans="1:16" ht="33.75" customHeight="1">
      <c r="A7" s="5" t="s">
        <v>150</v>
      </c>
      <c r="B7" s="9">
        <f>SUM(E2:E5)</f>
        <v>830</v>
      </c>
    </row>
    <row r="8" spans="1:16" ht="33.75" customHeight="1">
      <c r="A8" s="5" t="s">
        <v>152</v>
      </c>
      <c r="B8" s="10">
        <f>SUM(G2:G5)</f>
        <v>88.10000000000001</v>
      </c>
    </row>
    <row r="9" spans="1:16" ht="33.75" customHeight="1">
      <c r="A9" s="5" t="s">
        <v>162</v>
      </c>
      <c r="B9" s="8">
        <f>SUM(J2:J5)</f>
        <v>15686.5</v>
      </c>
    </row>
    <row r="10" spans="1:16" ht="33.75" customHeight="1">
      <c r="A10" s="5" t="s">
        <v>163</v>
      </c>
      <c r="B10" s="8">
        <f>IFERROR(SUM(J2:J5)/SUM(E2:E5),0)</f>
        <v>18.899397590361446</v>
      </c>
    </row>
    <row r="12" spans="1:16" ht="32.25" customHeight="1">
      <c r="A12" s="2" t="s">
        <v>164</v>
      </c>
      <c r="B12" s="2"/>
      <c r="C12" s="2"/>
      <c r="D12" s="2"/>
      <c r="E12" s="2"/>
      <c r="F12" s="2"/>
      <c r="G12" s="2"/>
      <c r="H12" s="2"/>
    </row>
    <row r="13" spans="1:16" ht="33.75" customHeight="1">
      <c r="A13" s="2"/>
      <c r="B13" s="2"/>
      <c r="C13" s="2"/>
      <c r="D13" s="2"/>
      <c r="E13" s="2"/>
      <c r="F13" s="2"/>
      <c r="G13" s="2"/>
      <c r="H13" s="2"/>
    </row>
  </sheetData>
  <mergeCells count="1">
    <mergeCell ref="A12:H13"/>
  </mergeCells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7"/>
  <sheetViews>
    <sheetView showGridLines="0" zoomScale="85" zoomScaleNormal="85" workbookViewId="0">
      <pane ySplit="1" topLeftCell="A2" activePane="bottomLeft" state="frozen"/>
      <selection pane="bottomLeft"/>
    </sheetView>
  </sheetViews>
  <sheetFormatPr defaultRowHeight="33.75" customHeight="1"/>
  <cols>
    <col min="1" max="1" width="24.7109375" customWidth="1"/>
    <col min="2" max="14" width="19.7109375" customWidth="1"/>
  </cols>
  <sheetData>
    <row r="1" spans="1:16" ht="57.75" customHeight="1">
      <c r="A1" s="3" t="s">
        <v>136</v>
      </c>
      <c r="B1" s="3" t="s">
        <v>137</v>
      </c>
      <c r="C1" s="3" t="s">
        <v>138</v>
      </c>
      <c r="D1" s="3" t="s">
        <v>139</v>
      </c>
      <c r="E1" s="3" t="s">
        <v>140</v>
      </c>
      <c r="F1" s="3" t="s">
        <v>165</v>
      </c>
      <c r="G1" s="3" t="s">
        <v>166</v>
      </c>
      <c r="H1" s="3" t="s">
        <v>167</v>
      </c>
      <c r="I1" s="3" t="s">
        <v>168</v>
      </c>
      <c r="J1" s="3" t="s">
        <v>141</v>
      </c>
      <c r="K1" s="3" t="s">
        <v>89</v>
      </c>
      <c r="L1" s="3" t="s">
        <v>124</v>
      </c>
      <c r="N1" s="3" t="s">
        <v>169</v>
      </c>
      <c r="P1" s="6" t="s">
        <v>210</v>
      </c>
    </row>
    <row r="2" spans="1:16" ht="33.75" customHeight="1">
      <c r="A2" s="9" t="str">
        <f>'15_В3_Производство'!A2</f>
        <v>Платья</v>
      </c>
      <c r="B2" s="9">
        <f>'15_В3_Производство'!B2</f>
        <v>500</v>
      </c>
      <c r="C2" s="9">
        <f>'15_В3_Производство'!C2</f>
        <v>470</v>
      </c>
      <c r="D2" s="9">
        <f>'15_В3_Производство'!D2</f>
        <v>10</v>
      </c>
      <c r="E2" s="9">
        <f>C2-D2</f>
        <v>460</v>
      </c>
      <c r="F2" s="8">
        <f>C2*'01_ТекстильПром'!G3</f>
        <v>235000</v>
      </c>
      <c r="G2" s="8">
        <f>E2*'01_ТекстильПром'!H3</f>
        <v>690000</v>
      </c>
      <c r="H2" s="8">
        <f>G2-F2</f>
        <v>455000</v>
      </c>
      <c r="I2" s="11">
        <f>IFERROR(H2/F2,0)</f>
        <v>1.9361702127659575</v>
      </c>
      <c r="J2" s="11">
        <f>IFERROR(E2/B2,0)</f>
        <v>0.92</v>
      </c>
      <c r="K2" s="11">
        <f>IFERROR(D2/C2,0)</f>
        <v>0.02127659574468085</v>
      </c>
      <c r="L2" s="9" t="str">
        <f>IF(AND(J2&gt;=1,K2&lt;=$N$2),"Норма","Внимание")</f>
        <v>Внимание</v>
      </c>
      <c r="N2" s="14">
        <v>0.02</v>
      </c>
    </row>
    <row r="3" spans="1:16" ht="33.75" customHeight="1">
      <c r="A3" s="9" t="str">
        <f>'15_В3_Производство'!A3</f>
        <v>Футболки</v>
      </c>
      <c r="B3" s="9">
        <f>'15_В3_Производство'!B3</f>
        <v>300</v>
      </c>
      <c r="C3" s="9">
        <f>'15_В3_Производство'!C3</f>
        <v>300</v>
      </c>
      <c r="D3" s="9">
        <f>'15_В3_Производство'!D3</f>
        <v>3</v>
      </c>
      <c r="E3" s="9">
        <f>C3-D3</f>
        <v>297</v>
      </c>
      <c r="F3" s="8">
        <f>C3*'01_ТекстильПром'!G4</f>
        <v>75000</v>
      </c>
      <c r="G3" s="8">
        <f>E3*'01_ТекстильПром'!H4</f>
        <v>148500</v>
      </c>
      <c r="H3" s="8">
        <f>G3-F3</f>
        <v>73500</v>
      </c>
      <c r="I3" s="11">
        <f>IFERROR(H3/F3,0)</f>
        <v>0.98</v>
      </c>
      <c r="J3" s="11">
        <f>IFERROR(E3/B3,0)</f>
        <v>0.99</v>
      </c>
      <c r="K3" s="11">
        <f>IFERROR(D3/C3,0)</f>
        <v>0.01</v>
      </c>
      <c r="L3" s="9" t="str">
        <f>IF(AND(J3&gt;=1,K3&lt;=$N$2),"Норма","Внимание")</f>
        <v>Внимание</v>
      </c>
    </row>
    <row r="4" spans="1:16" ht="33.75" customHeight="1">
      <c r="A4" s="9" t="str">
        <f>'15_В3_Производство'!A4</f>
        <v>Джинсы</v>
      </c>
      <c r="B4" s="9">
        <f>'15_В3_Производство'!B4</f>
        <v>400</v>
      </c>
      <c r="C4" s="9">
        <f>'15_В3_Производство'!C4</f>
        <v>460</v>
      </c>
      <c r="D4" s="9">
        <f>'15_В3_Производство'!D4</f>
        <v>6</v>
      </c>
      <c r="E4" s="9">
        <f>C4-D4</f>
        <v>454</v>
      </c>
      <c r="F4" s="8">
        <f>C4*'01_ТекстильПром'!G5</f>
        <v>368000</v>
      </c>
      <c r="G4" s="8">
        <f>E4*'01_ТекстильПром'!H5</f>
        <v>771800</v>
      </c>
      <c r="H4" s="8">
        <f>G4-F4</f>
        <v>403800</v>
      </c>
      <c r="I4" s="11">
        <f>IFERROR(H4/F4,0)</f>
        <v>1.0972826086956522</v>
      </c>
      <c r="J4" s="11">
        <f>IFERROR(E4/B4,0)</f>
        <v>1.135</v>
      </c>
      <c r="K4" s="11">
        <f>IFERROR(D4/C4,0)</f>
        <v>0.013043478260869565</v>
      </c>
      <c r="L4" s="9" t="str">
        <f>IF(AND(J4&gt;=1,K4&lt;=$N$2),"Норма","Внимание")</f>
        <v>Норма</v>
      </c>
    </row>
    <row r="5" spans="1:16" ht="33.75" customHeight="1">
      <c r="A5" s="9" t="str">
        <f>'15_В3_Производство'!A5</f>
        <v>Юбки</v>
      </c>
      <c r="B5" s="9">
        <f>'15_В3_Производство'!B5</f>
        <v>470</v>
      </c>
      <c r="C5" s="9">
        <f>'15_В3_Производство'!C5</f>
        <v>450</v>
      </c>
      <c r="D5" s="9">
        <f>'15_В3_Производство'!D5</f>
        <v>9</v>
      </c>
      <c r="E5" s="9">
        <f>C5-D5</f>
        <v>441</v>
      </c>
      <c r="F5" s="8">
        <f>C5*'01_ТекстильПром'!G6</f>
        <v>135000</v>
      </c>
      <c r="G5" s="8">
        <f>E5*'01_ТекстильПром'!H6</f>
        <v>264600</v>
      </c>
      <c r="H5" s="8">
        <f>G5-F5</f>
        <v>129600</v>
      </c>
      <c r="I5" s="11">
        <f>IFERROR(H5/F5,0)</f>
        <v>0.96</v>
      </c>
      <c r="J5" s="11">
        <f>IFERROR(E5/B5,0)</f>
        <v>0.9382978723404255</v>
      </c>
      <c r="K5" s="11">
        <f>IFERROR(D5/C5,0)</f>
        <v>0.02</v>
      </c>
      <c r="L5" s="9" t="str">
        <f>IF(AND(J5&gt;=1,K5&lt;=$N$2),"Норма","Внимание")</f>
        <v>Внимание</v>
      </c>
    </row>
    <row r="8" spans="1:16" ht="33.75" customHeight="1">
      <c r="A8" s="5" t="s">
        <v>165</v>
      </c>
      <c r="B8" s="8">
        <f>SUM(F2:F5)</f>
        <v>813000</v>
      </c>
    </row>
    <row r="9" spans="1:16" ht="33.75" customHeight="1">
      <c r="A9" s="5" t="s">
        <v>166</v>
      </c>
      <c r="B9" s="8">
        <f>SUM(G2:G5)</f>
        <v>1874900</v>
      </c>
    </row>
    <row r="10" spans="1:16" ht="33.75" customHeight="1">
      <c r="A10" s="5" t="s">
        <v>167</v>
      </c>
      <c r="B10" s="8">
        <f>SUM(H2:H5)</f>
        <v>1061900</v>
      </c>
    </row>
    <row r="11" spans="1:16" ht="33.75" customHeight="1">
      <c r="A11" s="5" t="s">
        <v>170</v>
      </c>
      <c r="B11" s="11">
        <f>IFERROR(SUM(H2:H5)/SUM(F2:F5),0)</f>
        <v>1.306150061500615</v>
      </c>
    </row>
    <row r="12" spans="1:16" ht="33.75" customHeight="1">
      <c r="A12" s="5" t="s">
        <v>143</v>
      </c>
      <c r="B12" s="11">
        <f>IFERROR(SUM(E2:E5)/SUM(B2:B5),0)</f>
        <v>0.9892215568862276</v>
      </c>
    </row>
    <row r="13" spans="1:16" ht="33.75" customHeight="1">
      <c r="A13" s="5" t="s">
        <v>171</v>
      </c>
      <c r="B13" s="11">
        <f>IFERROR(SUM(D2:D5)/SUM(C2:C5),0)</f>
        <v>0.016666666666666666</v>
      </c>
    </row>
    <row r="14" spans="1:16" ht="33.75" customHeight="1">
      <c r="A14" s="5" t="s">
        <v>172</v>
      </c>
      <c r="B14" s="9">
        <f>COUNTIF(L2:L5,"Внимание")</f>
        <v>3</v>
      </c>
    </row>
    <row r="16" spans="1:16" ht="32.25" customHeight="1">
      <c r="A16" s="2" t="s">
        <v>173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ht="33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</sheetData>
  <mergeCells count="1">
    <mergeCell ref="A16:L17"/>
  </mergeCells>
  <conditionalFormatting sqref="K2:K5">
    <cfRule type="expression" dxfId="0" priority="1">
      <formula>K2&gt;$N$2</formula>
    </cfRule>
  </conditionalFormatting>
  <conditionalFormatting sqref="L2:L5">
    <cfRule type="containsText" dxfId="0" priority="2" operator="containsText" text="Внимание">
      <formula>NOT(ISERROR(SEARCH("Внимание",L2)))</formula>
    </cfRule>
  </conditionalFormatting>
  <hyperlinks>
    <hyperlink ref="P1" location="'00_Навигация'!A1" display="← Содержание"/>
  </hyperlinks>
  <pageMargins left="0.3" right="0.3" top="0.4" bottom="0.4" header="0.3" footer="0.3"/>
  <pageSetup paperSize="9" fitToHeight="0" orientation="landscape"/>
  <headerFooter>
    <oddFooter>&amp;LУчебная работа • Электронные таблицы&amp;RСтраница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36</vt:i4>
      </vt:variant>
    </vt:vector>
  </HeadingPairs>
  <TitlesOfParts>
    <vt:vector size="54" baseType="lpstr">
      <vt:lpstr>00_Навигация</vt:lpstr>
      <vt:lpstr>01_ТекстильПром</vt:lpstr>
      <vt:lpstr>02_Сумма_среднее</vt:lpstr>
      <vt:lpstr>03_Среднее_без_нулей</vt:lpstr>
      <vt:lpstr>04_Скидка</vt:lpstr>
      <vt:lpstr>05_Доступ</vt:lpstr>
      <vt:lpstr>06_Срок_проекта</vt:lpstr>
      <vt:lpstr>07_Дедлайн</vt:lpstr>
      <vt:lpstr>08_Продажи</vt:lpstr>
      <vt:lpstr>09_Себестоимость</vt:lpstr>
      <vt:lpstr>10_Качество</vt:lpstr>
      <vt:lpstr>11_Заказ_праздники</vt:lpstr>
      <vt:lpstr>12_Партии_ткани</vt:lpstr>
      <vt:lpstr>13_В1_Рабочее_время</vt:lpstr>
      <vt:lpstr>14_В2_Склад</vt:lpstr>
      <vt:lpstr>15_В3_Производство</vt:lpstr>
      <vt:lpstr>16_В4_Доставка</vt:lpstr>
      <vt:lpstr>17_В5_Показатели_цеха</vt:lpstr>
      <vt:lpstr>'00_Навигация'!Print_Area</vt:lpstr>
      <vt:lpstr>'01_ТекстильПром'!Print_Area</vt:lpstr>
      <vt:lpstr>'02_Сумма_среднее'!Print_Area</vt:lpstr>
      <vt:lpstr>'03_Среднее_без_нулей'!Print_Area</vt:lpstr>
      <vt:lpstr>'04_Скидка'!Print_Area</vt:lpstr>
      <vt:lpstr>'05_Доступ'!Print_Area</vt:lpstr>
      <vt:lpstr>'06_Срок_проекта'!Print_Area</vt:lpstr>
      <vt:lpstr>'07_Дедлайн'!Print_Area</vt:lpstr>
      <vt:lpstr>'08_Продажи'!Print_Area</vt:lpstr>
      <vt:lpstr>'09_Себестоимость'!Print_Area</vt:lpstr>
      <vt:lpstr>'10_Качество'!Print_Area</vt:lpstr>
      <vt:lpstr>'11_Заказ_праздники'!Print_Area</vt:lpstr>
      <vt:lpstr>'12_Партии_ткани'!Print_Area</vt:lpstr>
      <vt:lpstr>'13_В1_Рабочее_время'!Print_Area</vt:lpstr>
      <vt:lpstr>'14_В2_Склад'!Print_Area</vt:lpstr>
      <vt:lpstr>'15_В3_Производство'!Print_Area</vt:lpstr>
      <vt:lpstr>'16_В4_Доставка'!Print_Area</vt:lpstr>
      <vt:lpstr>'17_В5_Показатели_цеха'!Print_Area</vt:lpstr>
      <vt:lpstr>'00_Навигация'!Print_Titles</vt:lpstr>
      <vt:lpstr>'01_ТекстильПром'!Print_Titles</vt:lpstr>
      <vt:lpstr>'02_Сумма_среднее'!Print_Titles</vt:lpstr>
      <vt:lpstr>'03_Среднее_без_нулей'!Print_Titles</vt:lpstr>
      <vt:lpstr>'04_Скидка'!Print_Titles</vt:lpstr>
      <vt:lpstr>'05_Доступ'!Print_Titles</vt:lpstr>
      <vt:lpstr>'06_Срок_проекта'!Print_Titles</vt:lpstr>
      <vt:lpstr>'07_Дедлайн'!Print_Titles</vt:lpstr>
      <vt:lpstr>'08_Продажи'!Print_Titles</vt:lpstr>
      <vt:lpstr>'09_Себестоимость'!Print_Titles</vt:lpstr>
      <vt:lpstr>'10_Качество'!Print_Titles</vt:lpstr>
      <vt:lpstr>'11_Заказ_праздники'!Print_Titles</vt:lpstr>
      <vt:lpstr>'12_Партии_ткани'!Print_Titles</vt:lpstr>
      <vt:lpstr>'13_В1_Рабочее_время'!Print_Titles</vt:lpstr>
      <vt:lpstr>'14_В2_Склад'!Print_Titles</vt:lpstr>
      <vt:lpstr>'15_В3_Производство'!Print_Titles</vt:lpstr>
      <vt:lpstr>'16_В4_Доставка'!Print_Titles</vt:lpstr>
      <vt:lpstr>'17_В5_Показатели_цеха'!Print_Titles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2026-10-23T10:49:42Z</dcterms:created>
  <dcterms:modified xsi:type="dcterms:W3CDTF">2026-10-23T10:49:42Z</dcterms:modified>
</cp:coreProperties>
</file>
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Навигация" sheetId="1" r:id="rId1"/>
    <sheet name="01_ТекстильПром" sheetId="2" r:id="rId2"/>
    <sheet name="02_Сумма_среднее" sheetId="3" r:id="rId3"/>
    <sheet name="03_Среднее_без_нулей" sheetId="4" r:id="rId4"/>
    <sheet name="04_Скидка" sheetId="5" r:id="rId5"/>
    <sheet name="05_Доступ" sheetId="6" r:id="rId6"/>
    <sheet name="06_Срок_проекта" sheetId="7" r:id="rId7"/>
    <sheet name="07_Дедлайн" sheetId="8" r:id="rId8"/>
    <sheet name="08_Продажи" sheetId="9" r:id="rId9"/>
    <sheet name="09_Себестоимость" sheetId="10" r:id="rId10"/>
    <sheet name="10_Качество" sheetId="11" r:id="rId11"/>
    <sheet name="11_Заказ_праздники" sheetId="12" r:id="rId12"/>
    <sheet name="12_Партии_ткани" sheetId="13" r:id="rId13"/>
    <sheet name="13_В1_Рабочее_время" sheetId="14" r:id="rId14"/>
    <sheet name="14_В2_Склад" sheetId="15" r:id="rId15"/>
    <sheet name="15_В3_Производство" sheetId="16" r:id="rId16"/>
    <sheet name="16_В4_Доставка" sheetId="17" r:id="rId17"/>
    <sheet name="17_В5_Показатели_цеха" sheetId="18" r:id="rId18"/>
  </sheets>
  <definedNames>
    <definedName name="_xlnm.Print_Area" localSheetId="0">'00_Навигация'!$A$1:$H$27</definedName>
    <definedName name="_xlnm.Print_Area" localSheetId="1">'01_ТекстильПром'!$A$1:$N$33</definedName>
    <definedName name="_xlnm.Print_Area" localSheetId="2">'02_Сумма_среднее'!$A$1:$N$13</definedName>
    <definedName name="_xlnm.Print_Area" localSheetId="3">'03_Среднее_без_нулей'!$A$1:$N$13</definedName>
    <definedName name="_xlnm.Print_Area" localSheetId="4">'04_Скидка'!$A$1:$N$9</definedName>
    <definedName name="_xlnm.Print_Area" localSheetId="5">'05_Доступ'!$A$1:$N$10</definedName>
    <definedName name="_xlnm.Print_Area" localSheetId="6">'06_Срок_проекта'!$A$1:$N$6</definedName>
    <definedName name="_xlnm.Print_Area" localSheetId="7">'07_Дедлайн'!$A$1:$N$10</definedName>
    <definedName name="_xlnm.Print_Area" localSheetId="8">'08_Продажи'!$A$1:$N$33</definedName>
    <definedName name="_xlnm.Print_Area" localSheetId="9">'09_Себестоимость'!$A$1:$N$9</definedName>
    <definedName name="_xlnm.Print_Area" localSheetId="10">'10_Качество'!$A$1:$N$10</definedName>
    <definedName name="_xlnm.Print_Area" localSheetId="11">'11_Заказ_праздники'!$A$1:$N$6</definedName>
    <definedName name="_xlnm.Print_Area" localSheetId="12">'12_Партии_ткани'!$A$1:$N$16</definedName>
    <definedName name="_xlnm.Print_Area" localSheetId="13">'13_В1_Рабочее_время'!$A$1:$N$33</definedName>
    <definedName name="_xlnm.Print_Area" localSheetId="14">'14_В2_Склад'!$A$1:$N$33</definedName>
    <definedName name="_xlnm.Print_Area" localSheetId="15">'15_В3_Производство'!$A$1:$N$33</definedName>
    <definedName name="_xlnm.Print_Area" localSheetId="16">'16_В4_Доставка'!$A$1:$N$33</definedName>
    <definedName name="_xlnm.Print_Area" localSheetId="17">'17_В5_Показатели_цеха'!$A$1:$N$33</definedName>
    <definedName name="_xlnm.Print_Titles" localSheetId="0">'00_Навигация'!$1:$1</definedName>
    <definedName name="_xlnm.Print_Titles" localSheetId="1">'01_ТекстильПром'!$1:$1</definedName>
    <definedName name="_xlnm.Print_Titles" localSheetId="2">'02_Сумма_среднее'!$1:$1</definedName>
    <definedName name="_xlnm.Print_Titles" localSheetId="3">'03_Среднее_без_нулей'!$1:$1</definedName>
    <definedName name="_xlnm.Print_Titles" localSheetId="4">'04_Скидка'!$1:$1</definedName>
    <definedName name="_xlnm.Print_Titles" localSheetId="5">'05_Доступ'!$1:$1</definedName>
    <definedName name="_xlnm.Print_Titles" localSheetId="6">'06_Срок_проекта'!$1:$1</definedName>
    <definedName name="_xlnm.Print_Titles" localSheetId="7">'07_Дедлайн'!$1:$1</definedName>
    <definedName name="_xlnm.Print_Titles" localSheetId="8">'08_Продажи'!$1:$1</definedName>
    <definedName name="_xlnm.Print_Titles" localSheetId="9">'09_Себестоимость'!$1:$1</definedName>
    <definedName name="_xlnm.Print_Titles" localSheetId="10">'10_Качество'!$1:$1</definedName>
    <definedName name="_xlnm.Print_Titles" localSheetId="11">'11_Заказ_праздники'!$1:$1</definedName>
    <definedName name="_xlnm.Print_Titles" localSheetId="12">'12_Партии_ткани'!$1:$1</definedName>
    <definedName name="_xlnm.Print_Titles" localSheetId="13">'13_В1_Рабочее_время'!$1:$1</definedName>
    <definedName name="_xlnm.Print_Titles" localSheetId="14">'14_В2_Склад'!$1:$1</definedName>
    <definedName name="_xlnm.Print_Titles" localSheetId="15">'15_В3_Производство'!$1:$1</definedName>
    <definedName name="_xlnm.Print_Titles" localSheetId="16">'16_В4_Доставка'!$1:$1</definedName>
    <definedName name="_xlnm.Print_Titles" localSheetId="17">'17_В5_Показатели_цеха'!$1:$1</definedName>
  </definedNames>
  <calcPr calcId="124519" fullCalcOnLoad="1"/>
</workbook>
</file>

<file path=xl/sharedStrings.xml><?xml version="1.0" encoding="utf-8"?>
<ns0:sst xmlns:ns0="http://schemas.openxmlformats.org/spreadsheetml/2006/main" count="273" uniqueCount="211">
  <ns0:si>
    <ns0:t>ОСНОВЫ РАБОТЫ С ЭЛЕКТРОННЫМИ ТАБЛИЦАМИ</ns0:t>
  </ns0:si>
  <ns0:si>
    <ns0:t>Все задания в одной книге. Входные данные можно менять; формулы пересчитываются.</ns0:t>
  </ns0:si>
  <ns0:si>
    <ns0:t>Учебные данные выбраны самостоятельно только там, где они отсутствуют в условии. Подробные ответы, допущения и исправления неточностей сценария — в документе «Отчет.docx».</ns0:t>
  </ns0:si>
  <ns0:si>
    <ns0:t>Отчёт ООО «ТекстильПром» за месяц</ns0:t>
  </ns0:si>
  <ns0:si>
    <ns0:t>№</ns0:t>
  </ns0:si>
  <ns0:si>
    <ns0:t>Наименование</ns0:t>
  </ns0:si>
  <ns0:si>
    <ns0:t>Ед. изм.</ns0:t>
  </ns0:si>
  <ns0:si>
    <ns0:t>Выпуск (план)</ns0:t>
  </ns0:si>
  <ns0:si>
    <ns0:t>Выпуск (факт)</ns0:t>
  </ns0:si>
  <ns0:si>
    <ns0:t>% выполнения</ns0:t>
  </ns0:si>
  <ns0:si>
    <ns0:t>Себестоимость, ₽/ед.</ns0:t>
  </ns0:si>
  <ns0:si>
    <ns0:t>Цена продажи, ₽/ед.</ns0:t>
  </ns0:si>
  <ns0:si>
    <ns0:t>Прибыль, ₽/ед.</ns0:t>
  </ns0:si>
  <ns0:si>
    <ns0:t>Общая прибыль, ₽</ns0:t>
  </ns0:si>
  <ns0:si>
    <ns0:t>Платья</ns0:t>
  </ns0:si>
  <ns0:si>
    <ns0:t>шт.</ns0:t>
  </ns0:si>
  <ns0:si>
    <ns0:t>Футболки</ns0:t>
  </ns0:si>
  <ns0:si>
    <ns0:t>Джинсы</ns0:t>
  </ns0:si>
  <ns0:si>
    <ns0:t>Юбки</ns0:t>
  </ns0:si>
  <ns0:si>
    <ns0:t>ИТОГО</ns0:t>
  </ns0:si>
  <ns0:si>
    <ns0:t>Пояснения и допущения — в отчёте Word.</ns0:t>
  </ns0:si>
  <ns0:si>
    <ns0:t>Учебные данные: числа от 10 до 100</ns0:t>
  </ns0:si>
  <ns0:si>
    <ns0:t>Сумма</ns0:t>
  </ns0:si>
  <ns0:si>
    <ns0:t>Среднее</ns0:t>
  </ns0:si>
  <ns0:si>
    <ns0:t>Диапазон A1:A10 сохранён как в условии. Числа выбраны самостоятельно.</ns0:t>
  </ns0:si>
  <ns0:si>
    <ns0:t>Среднее без нулей</ns0:t>
  </ns0:si>
  <ns0:si>
    <ns0:t>Учебные данные G1:G10: 10; 0; 20; 30; 0; 40; 50; 0; 60; 70. Нулевые значения исключены. Если все значения нулевые, среднее не определено.</ns0:t>
  </ns0:si>
  <ns0:si>
    <ns0:t>Сумма покупки, ₽</ns0:t>
  </ns0:si>
  <ns0:si>
    <ns0:t>К оплате, ₽</ns0:t>
  </ns0:si>
  <ns0:si>
    <ns0:t>Покупка, ₽</ns0:t>
  </ns0:si>
  <ns0:si>
    <ns0:t>Скидка</ns0:t>
  </ns0:si>
  <ns0:si>
    <ns0:t>Возраст</ns0:t>
  </ns0:si>
  <ns0:si>
    <ns0:t>Подписка</ns0:t>
  </ns0:si>
  <ns0:si>
    <ns0:t>Да</ns0:t>
  </ns0:si>
  <ns0:si>
    <ns0:t>Результат</ns0:t>
  </ns0:si>
  <ns0:si>
    <ns0:t>Нет</ns0:t>
  </ns0:si>
  <ns0:si>
    <ns0:t>A1: дата начала</ns0:t>
  </ns0:si>
  <ns0:si>
    <ns0:t>B1: рабочих дней</ns0:t>
  </ns0:si>
  <ns0:si>
    <ns0:t>C1: окончание</ns0:t>
  </ns0:si>
  <ns0:si>
    <ns0:t>D1: день недели</ns0:t>
  </ns0:si>
  <ns0:si>
    <ns0:t>Начальный день не включается. Исключаются суббота и воскресенье; праздничные даты в этих задачах не заданы. Обе задачи используют рабочие дни, поэтому результат одинаков.</ns0:t>
  </ns0:si>
  <ns0:si>
    <ns0:t>Тест: начало</ns0:t>
  </ns0:si>
  <ns0:si>
    <ns0:t>Рабочих дней</ns0:t>
  </ns0:si>
  <ns0:si>
    <ns0:t>Окончание</ns0:t>
  </ns0:si>
  <ns0:si>
    <ns0:t>Проверка</ns0:t>
  </ns0:si>
  <ns0:si>
    <ns0:t>Месяц</ns0:t>
  </ns0:si>
  <ns0:si>
    <ns0:t>Продажи, тыс. ₽</ns0:t>
  </ns0:si>
  <ns0:si>
    <ns0:t>Январь</ns0:t>
  </ns0:si>
  <ns0:si>
    <ns0:t>Февраль</ns0:t>
  </ns0:si>
  <ns0:si>
    <ns0:t>Март</ns0:t>
  </ns0:si>
  <ns0:si>
    <ns0:t>Апрель</ns0:t>
  </ns0:si>
  <ns0:si>
    <ns0:t>Май</ns0:t>
  </ns0:si>
  <ns0:si>
    <ns0:t>Июнь</ns0:t>
  </ns0:si>
  <ns0:si>
    <ns0:t>Июль</ns0:t>
  </ns0:si>
  <ns0:si>
    <ns0:t>Август</ns0:t>
  </ns0:si>
  <ns0:si>
    <ns0:t>Сентябрь</ns0:t>
  </ns0:si>
  <ns0:si>
    <ns0:t>Октябрь</ns0:t>
  </ns0:si>
  <ns0:si>
    <ns0:t>Ноябрь</ns0:t>
  </ns0:si>
  <ns0:si>
    <ns0:t>Декабрь</ns0:t>
  </ns0:si>
  <ns0:si>
    <ns0:t>Средние продажи</ns0:t>
  </ns0:si>
  <ns0:si>
    <ns0:t>Месяц максимума</ns0:t>
  </ns0:si>
  <ns0:si>
    <ns0:t>Выше среднего</ns0:t>
  </ns0:si>
  <ns0:si>
    <ns0:t>Всего за год</ns0:t>
  </ns0:si>
  <ns0:si>
    <ns0:t>Показатель</ns0:t>
  </ns0:si>
  <ns0:si>
    <ns0:t>Значение</ns0:t>
  </ns0:si>
  <ns0:si>
    <ns0:t>Расход, м/ед.</ns0:t>
  </ns0:si>
  <ns0:si>
    <ns0:t>Количество, ед.</ns0:t>
  </ns0:si>
  <ns0:si>
    <ns0:t>Цена, ₽/м</ns0:t>
  </ns0:si>
  <ns0:si>
    <ns0:t>НДС</ns0:t>
  </ns0:si>
  <ns0:si>
    <ns0:t>Без НДС, ₽</ns0:t>
  </ns0:si>
  <ns0:si>
    <ns0:t>НДС, ₽</ns0:t>
  </ns0:si>
  <ns0:si>
    <ns0:t>С НДС, ₽</ns0:t>
  </ns0:si>
  <ns0:si>
    <ns0:t>Прочность, Н/м²</ns0:t>
  </ns0:si>
  <ns0:si>
    <ns0:t>Отклонение цвета, %</ns0:t>
  </ns0:si>
  <ns0:si>
    <ns0:t>Сегмент</ns0:t>
  </ns0:si>
  <ns0:si>
    <ns0:t>Премиум</ns0:t>
  </ns0:si>
  <ns0:si>
    <ns0:t>Массмаркет</ns0:t>
  </ns0:si>
  <ns0:si>
    <ns0:t>Пояснения и допущения — в отчёте Word.</ns0:t>
  </ns0:si>
  <ns0:si>
    <ns0:t>Дата согласования</ns0:t>
  </ns0:si>
  <ns0:si>
    <ns0:t>Нерабочие даты</ns0:t>
  </ns0:si>
  <ns0:si>
    <ns0:t>Срок, раб. дней</ns0:t>
  </ns0:si>
  <ns0:si>
    <ns0:t>Дата окончания</ns0:t>
  </ns0:si>
  <ns0:si>
    <ns0:t>Пояснения и допущения — в отчёте Word.</ns0:t>
  </ns0:si>
  <ns0:si>
    <ns0:t>Партия</ns0:t>
  </ns0:si>
  <ns0:si>
    <ns0:t>Факт, м</ns0:t>
  </ns0:si>
  <ns0:si>
    <ns0:t>План, м</ns0:t>
  </ns0:si>
  <ns0:si>
    <ns0:t>Брак, м</ns0:t>
  </ns0:si>
  <ns0:si>
    <ns0:t>Себестоимость, ₽/м</ns0:t>
  </ns0:si>
  <ns0:si>
    <ns0:t>План, %</ns0:t>
  </ns0:si>
  <ns0:si>
    <ns0:t>Брак, %</ns0:t>
  </ns0:si>
  <ns0:si>
    <ns0:t>Показатель по условию, ₽</ns0:t>
  </ns0:si>
  <ns0:si>
    <ns0:t>Партия 1</ns0:t>
  </ns0:si>
  <ns0:si>
    <ns0:t>Партия 2</ns0:t>
  </ns0:si>
  <ns0:si>
    <ns0:t>Партия 3</ns0:t>
  </ns0:si>
  <ns0:si>
    <ns0:t>Партия 4</ns0:t>
  </ns0:si>
  <ns0:si>
    <ns0:t>Партия 5</ns0:t>
  </ns0:si>
  <ns0:si>
    <ns0:t>Средний брак</ns0:t>
  </ns0:si>
  <ns0:si>
    <ns0:t>Лучшая партия</ns0:t>
  </ns0:si>
  <ns0:si>
    <ns0:t>Максимум показателя</ns0:t>
  </ns0:si>
  <ns0:si>
    <ns0:t>Станд. откл. (выборка)</ns0:t>
  </ns0:si>
  <ns0:si>
    <ns0:t>Взвешенный брак</ns0:t>
  </ns0:si>
  <ns0:si>
    <ns0:t>Пояснения и допущения — в отчёте Word.</ns0:t>
  </ns0:si>
  <ns0:si>
    <ns0:t>Сотрудник</ns0:t>
  </ns0:si>
  <ns0:si>
    <ns0:t>Дата</ns0:t>
  </ns0:si>
  <ns0:si>
    <ns0:t>Начало</ns0:t>
  </ns0:si>
  <ns0:si>
    <ns0:t>Перерыв, ч</ns0:t>
  </ns0:si>
  <ns0:si>
    <ns0:t>Часы</ns0:t>
  </ns0:si>
  <ns0:si>
    <ns0:t>Ставка, ₽/ч</ns0:t>
  </ns0:si>
  <ns0:si>
    <ns0:t>Зарплата, ₽</ns0:t>
  </ns0:si>
  <ns0:si>
    <ns0:t>Иванов</ns0:t>
  </ns0:si>
  <ns0:si>
    <ns0:t>Петрова</ns0:t>
  </ns0:si>
  <ns0:si>
    <ns0:t>Сидоров</ns0:t>
  </ns0:si>
  <ns0:si>
    <ns0:t>Смирнова</ns0:t>
  </ns0:si>
  <ns0:si>
    <ns0:t>Кузнецов</ns0:t>
  </ns0:si>
  <ns0:si>
    <ns0:t>Всего часов</ns0:t>
  </ns0:si>
  <ns0:si>
    <ns0:t>Фонд оплаты, ₽</ns0:t>
  </ns0:si>
  <ns0:si>
    <ns0:t>Средняя оплата, ₽</ns0:t>
  </ns0:si>
  <ns0:si>
    <ns0:t>Пояснения и допущения — в отчёте Word.</ns0:t>
  </ns0:si>
  <ns0:si>
    <ns0:t>Сырьё</ns0:t>
  </ns0:si>
  <ns0:si>
    <ns0:t>Начальный остаток</ns0:t>
  </ns0:si>
  <ns0:si>
    <ns0:t>Приход</ns0:t>
  </ns0:si>
  <ns0:si>
    <ns0:t>Расход</ns0:t>
  </ns0:si>
  <ns0:si>
    <ns0:t>Текущий остаток</ns0:t>
  </ns0:si>
  <ns0:si>
    <ns0:t>Минимум</ns0:t>
  </ns0:si>
  <ns0:si>
    <ns0:t>Статус</ns0:t>
  </ns0:si>
  <ns0:si>
    <ns0:t>К закупке</ns0:t>
  </ns0:si>
  <ns0:si>
    <ns0:t>Хлопок</ns0:t>
  </ns0:si>
  <ns0:si>
    <ns0:t>м</ns0:t>
  </ns0:si>
  <ns0:si>
    <ns0:t>Лён</ns0:t>
  </ns0:si>
  <ns0:si>
    <ns0:t>Шёлк</ns0:t>
  </ns0:si>
  <ns0:si>
    <ns0:t>Деним</ns0:t>
  </ns0:si>
  <ns0:si>
    <ns0:t>Подкладка</ns0:t>
  </ns0:si>
  <ns0:si>
    <ns0:t>Позиции к пополнению</ns0:t>
  </ns0:si>
  <ns0:si>
    <ns0:t>Закупить, м</ns0:t>
  </ns0:si>
  <ns0:si>
    <ns0:t>Остаток всего, м</ns0:t>
  </ns0:si>
  <ns0:si>
    <ns0:t>Пояснения и допущения — в отчёте Word.</ns0:t>
  </ns0:si>
  <ns0:si>
    <ns0:t>Продукция</ns0:t>
  </ns0:si>
  <ns0:si>
    <ns0:t>План, шт.</ns0:t>
  </ns0:si>
  <ns0:si>
    <ns0:t>Факт, шт.</ns0:t>
  </ns0:si>
  <ns0:si>
    <ns0:t>Брак, шт.</ns0:t>
  </ns0:si>
  <ns0:si>
    <ns0:t>Годный выпуск</ns0:t>
  </ns0:si>
  <ns0:si>
    <ns0:t>План по годному, %</ns0:t>
  </ns0:si>
  <ns0:si>
    <ns0:t>Отклонение, шт.</ns0:t>
  </ns0:si>
  <ns0:si>
    <ns0:t>Выполнение плана</ns0:t>
  </ns0:si>
  <ns0:si>
    <ns0:t>Общий брак</ns0:t>
  </ns0:si>
  <ns0:si>
    <ns0:t>Пояснения и допущения — в отчёте Word.</ns0:t>
  </ns0:si>
  <ns0:si>
    <ns0:t>Маршрут</ns0:t>
  </ns0:si>
  <ns0:si>
    <ns0:t>В одну сторону, км</ns0:t>
  </ns0:si>
  <ns0:si>
    <ns0:t>Рейсов</ns0:t>
  </ns0:si>
  <ns0:si>
    <ns0:t>Коэфф. пути</ns0:t>
  </ns0:si>
  <ns0:si>
    <ns0:t>Пробег, км</ns0:t>
  </ns0:si>
  <ns0:si>
    <ns0:t>Норма, л/100 км</ns0:t>
  </ns0:si>
  <ns0:si>
    <ns0:t>Топливо, л</ns0:t>
  </ns0:si>
  <ns0:si>
    <ns0:t>Топливо, ₽</ns0:t>
  </ns0:si>
  <ns0:si>
    <ns0:t>Прочие затраты, ₽</ns0:t>
  </ns0:si>
  <ns0:si>
    <ns0:t>Всего, ₽</ns0:t>
  </ns0:si>
  <ns0:si>
    <ns0:t>Цена топлива, ₽/л</ns0:t>
  </ns0:si>
  <ns0:si>
    <ns0:t>Прочие, ₽/км</ns0:t>
  </ns0:si>
  <ns0:si>
    <ns0:t>Склад → магазин А</ns0:t>
  </ns0:si>
  <ns0:si>
    <ns0:t>Склад → магазин Б</ns0:t>
  </ns0:si>
  <ns0:si>
    <ns0:t>Склад → фабрика</ns0:t>
  </ns0:si>
  <ns0:si>
    <ns0:t>Склад → пункт выдачи</ns0:t>
  </ns0:si>
  <ns0:si>
    <ns0:t>Перевозки, ₽</ns0:t>
  </ns0:si>
  <ns0:si>
    <ns0:t>Средняя цена км</ns0:t>
  </ns0:si>
  <ns0:si>
    <ns0:t>Пояснения и допущения — в отчёте Word.</ns0:t>
  </ns0:si>
  <ns0:si>
    <ns0:t>Затраты, ₽</ns0:t>
  </ns0:si>
  <ns0:si>
    <ns0:t>Выручка, ₽</ns0:t>
  </ns0:si>
  <ns0:si>
    <ns0:t>Прибыль, ₽</ns0:t>
  </ns0:si>
  <ns0:si>
    <ns0:t>Рентабельность</ns0:t>
  </ns0:si>
  <ns0:si>
    <ns0:t>Предел брака</ns0:t>
  </ns0:si>
  <ns0:si>
    <ns0:t>Рентабельность затрат</ns0:t>
  </ns0:si>
  <ns0:si>
    <ns0:t>Доля брака</ns0:t>
  </ns0:si>
  <ns0:si>
    <ns0:t>Позиции внимания</ns0:t>
  </ns0:si>
  <ns0:si>
    <ns0:t>Пояснения и допущения — в отчёте Word.</ns0:t>
  </ns0:si>
  <ns0:si>
    <ns0:t>Лист</ns0:t>
  </ns0:si>
  <ns0:si>
    <ns0:t>Содержание</ns0:t>
  </ns0:si>
  <ns0:si>
    <ns0:t>01_ТекстильПром</ns0:t>
  </ns0:si>
  <ns0:si>
    <ns0:t>Отчёт цеха, выполнение плана и прибыль</ns0:t>
  </ns0:si>
  <ns0:si>
    <ns0:t>02_Сумма_среднее</ns0:t>
  </ns0:si>
  <ns0:si>
    <ns0:t>Задача 1: сумма и среднее</ns0:t>
  </ns0:si>
  <ns0:si>
    <ns0:t>03_Среднее_без_нулей</ns0:t>
  </ns0:si>
  <ns0:si>
    <ns0:t>Задача 2: среднее без нулей</ns0:t>
  </ns0:si>
  <ns0:si>
    <ns0:t>04_Скидка</ns0:t>
  </ns0:si>
  <ns0:si>
    <ns0:t>Задача 3: скидка в магазине</ns0:t>
  </ns0:si>
  <ns0:si>
    <ns0:t>05_Доступ</ns0:t>
  </ns0:si>
  <ns0:si>
    <ns0:t>Задача 4: доступ к контенту</ns0:t>
  </ns0:si>
  <ns0:si>
    <ns0:t>06_Срок_проекта</ns0:t>
  </ns0:si>
  <ns0:si>
    <ns0:t>Задача 5: рабочие дни</ns0:t>
  </ns0:si>
  <ns0:si>
    <ns0:t>07_Дедлайн</ns0:t>
  </ns0:si>
  <ns0:si>
    <ns0:t>Задача 6: рабочие дни</ns0:t>
  </ns0:si>
  <ns0:si>
    <ns0:t>08_Продажи</ns0:t>
  </ns0:si>
  <ns0:si>
    <ns0:t>Задача 7: анализ годовых продаж</ns0:t>
  </ns0:si>
  <ns0:si>
    <ns0:t>09_Себестоимость</ns0:t>
  </ns0:si>
  <ns0:si>
    <ns0:t>Самостоятельная 1: стоимость партии с НДС</ns0:t>
  </ns0:si>
  <ns0:si>
    <ns0:t>10_Качество</ns0:t>
  </ns0:si>
  <ns0:si>
    <ns0:t>Самостоятельная 2: контроль качества ткани</ns0:t>
  </ns0:si>
  <ns0:si>
    <ns0:t>11_Заказ_праздники</ns0:t>
  </ns0:si>
  <ns0:si>
    <ns0:t>Самостоятельная 3: срок заказа с праздниками</ns0:t>
  </ns0:si>
  <ns0:si>
    <ns0:t>12_Партии_ткани</ns0:t>
  </ns0:si>
  <ns0:si>
    <ns0:t>Самостоятельная 4: анализ пяти партий</ns0:t>
  </ns0:si>
  <ns0:si>
    <ns0:t>13_В1_Рабочее_время</ns0:t>
  </ns0:si>
  <ns0:si>
    <ns0:t>Вариант 1: рабочее время и зарплата</ns0:t>
  </ns0:si>
  <ns0:si>
    <ns0:t>14_В2_Склад</ns0:t>
  </ns0:si>
  <ns0:si>
    <ns0:t>Вариант 2: остатки сырья и минимальный запас</ns0:t>
  </ns0:si>
  <ns0:si>
    <ns0:t>15_В3_Производство</ns0:t>
  </ns0:si>
  <ns0:si>
    <ns0:t>Вариант 3: учёт и анализ выпуска</ns0:t>
  </ns0:si>
  <ns0:si>
    <ns0:t>16_В4_Доставка</ns0:t>
  </ns0:si>
  <ns0:si>
    <ns0:t>Вариант 4: километраж, топливо и перевозки</ns0:t>
  </ns0:si>
  <ns0:si>
    <ns0:t>17_В5_Показатели_цеха</ns0:t>
  </ns0:si>
  <ns0:si>
    <ns0:t>Вариант 5: комплексный анализ цеха</ns0:t>
  </ns0:si>
  <ns0:si>
    <ns0:t>← Содержание</ns0:t>
  </ns0:si>
</ns0:sst>
</file>

<file path=xl/styles.xml><?xml version="1.0" encoding="utf-8"?>
<ns0:styleSheet xmlns:ns0="http://schemas.openxmlformats.org/spreadsheetml/2006/main">
  <ns0:numFmts count="6">
    <ns0:numFmt numFmtId="164" formatCode="#,##0.00 &quot;₽&quot;"/>
    <ns0:numFmt numFmtId="165" formatCode="#,##0.00"/>
    <ns0:numFmt numFmtId="166" formatCode="0.00%"/>
    <ns0:numFmt numFmtId="167" formatCode="dd.mm.yyyy"/>
    <ns0:numFmt numFmtId="168" formatCode="0%"/>
    <ns0:numFmt numFmtId="169" formatCode="hh:mm"/>
  </ns0:numFmts>
  <ns0:fonts count="1">
    <ns0:font>
      <ns0:sz val="11"/>
      <ns0:color theme="1"/>
      <ns0:name val="Calibri"/>
      <ns0:family val="2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1">
    <ns0:border>
      <ns0:left/>
      <ns0:right/>
      <ns0:top/>
      <ns0:bottom/>
      <ns0:diagonal/>
    </ns0:border>
  </ns0:borders>
  <ns0:cellStyleXfs count="2">
    <ns0:xf numFmtId="0" fontId="0" fillId="0" borderId="0"/>
    <ns0:xf numFmtId="0" fontId="0" fillId="0" borderId="0" applyNumberFormat="0"/>
  </ns0:cellStyleXfs>
  <ns0:cellXfs count="16">
    <ns0:xf numFmtId="0" fontId="0" fillId="0" borderId="0" xfId="0"/>
    <ns0:xf numFmtId="0" fontId="0" fillId="0" borderId="0" xfId="0"/>
    <ns0:xf numFmtId="0" fontId="0" fillId="0" borderId="0" xfId="0" applyAlignment="1">
      <ns0:alignment wrapText="1"/>
    </ns0:xf>
    <ns0:xf numFmtId="0" fontId="0" fillId="0" borderId="0" xfId="0" applyAlignment="1">
      <ns0:alignment wrapText="1"/>
    </ns0:xf>
    <ns0:xf numFmtId="0" fontId="0" fillId="0" borderId="0" xfId="0"/>
    <ns0:xf numFmtId="0" fontId="0" fillId="0" borderId="0" xfId="0" applyAlignment="1">
      <ns0:alignment wrapText="1"/>
    </ns0:xf>
    <ns0:xf numFmtId="0" fontId="0" fillId="0" borderId="0" xfId="1"/>
    <ns0:xf numFmtId="1" fontId="0" fillId="0" borderId="0" xfId="0" applyNumberFormat="1"/>
    <ns0:xf numFmtId="164" fontId="0" fillId="0" borderId="0" xfId="0" applyNumberFormat="1"/>
    <ns0:xf numFmtId="0" fontId="0" fillId="0" borderId="0" xfId="0"/>
    <ns0:xf numFmtId="165" fontId="0" fillId="0" borderId="0" xfId="0" applyNumberFormat="1"/>
    <ns0:xf numFmtId="166" fontId="0" fillId="0" borderId="0" xfId="0" applyNumberFormat="1"/>
    <ns0:xf numFmtId="167" fontId="0" fillId="0" borderId="0" xfId="0" applyNumberFormat="1"/>
    <ns0:xf numFmtId="167" fontId="0" fillId="0" borderId="0" xfId="0" applyNumberFormat="1"/>
    <ns0:xf numFmtId="168" fontId="0" fillId="0" borderId="0" xfId="0" applyNumberFormat="1"/>
    <ns0:xf numFmtId="169" fontId="0" fillId="0" borderId="0" xfId="0" applyNumberFormat="1"/>
  </ns0:cellXfs>
  <ns0:cellStyles count="2">
    <ns0:cellStyle name="Hyperlink" xfId="1" builtinId="8"/>
    <ns0:cellStyle name="Normal" xfId="0" builtinId="0"/>
  </ns0:cellStyles>
  <ns0:dxfs count="0"/>
  <ns0:tableStyles count="0" defaultTableStyle="TableStyleMedium9" defaultPivotStyle="PivotStyleLight16"/>
</ns0: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ns0:chartSpace xmlns:ns0="http://schemas.openxmlformats.org/drawingml/2006/chart" xmlns:ns1="http://schemas.openxmlformats.org/drawingml/2006/main">
  <ns0:lang val="en-US"/>
  <ns0:chart>
    <ns0:title>
      <ns0:tx>
        <ns0:rich>
          <ns1:bodyPr/>
          <ns1:lstStyle/>
          <ns1:p>
            <ns1:pPr>
              <ns1:defRPr/>
            </ns1:pPr>
            <ns1:r>
              <ns1:rPr lang="en-US"/>
              <ns1:t>Доли продукции в общей прибыли</ns1:t>
            </ns1:r>
          </ns1:p>
        </ns0:rich>
      </ns0:tx>
      <ns0:layout/>
    </ns0:title>
    <ns0:plotArea>
      <ns0:layout/>
      <ns0:pieChart>
        <ns0:varyColors val="1"/>
        <ns0:ser>
          <ns0:idx val="0"/>
          <ns0:order val="0"/>
          <ns0:tx>
            <ns0:v>Прибыль</ns0:v>
          </ns0:tx>
          <ns0:dLbls>
            <ns0:showPercent val="1"/>
          </ns0:dLbls>
          <ns0:cat>
            <ns0:strRef>
              <ns0:f>'01_ТекстильПром'!$B$3:$B$6</ns0:f>
              <ns0:strCache>
                <ns0:ptCount val="4"/>
                <ns0:pt idx="0">
                  <ns0:v>Платья</ns0:v>
                </ns0:pt>
                <ns0:pt idx="1">
                  <ns0:v>Футболки</ns0:v>
                </ns0:pt>
                <ns0:pt idx="2">
                  <ns0:v>Джинсы</ns0:v>
                </ns0:pt>
                <ns0:pt idx="3">
                  <ns0:v>Юбки</ns0:v>
                </ns0:pt>
              </ns0:strCache>
            </ns0:strRef>
          </ns0:cat>
          <ns0:val>
            <ns0:numRef>
              <ns0:f>'01_ТекстильПром'!$J$3:$J$6</ns0:f>
              <ns0:numCache>
                <ns0:formatCode>General</ns0:formatCode>
                <ns0:ptCount val="4"/>
                <ns0:pt idx="0">
                  <ns0:v>470000</ns0:v>
                </ns0:pt>
                <ns0:pt idx="1">
                  <ns0:v>75000</ns0:v>
                </ns0:pt>
                <ns0:pt idx="2">
                  <ns0:v>414000</ns0:v>
                </ns0:pt>
                <ns0:pt idx="3">
                  <ns0:v>135000</ns0:v>
                </ns0:pt>
              </ns0:numCache>
            </ns0:numRef>
          </ns0:val>
        </ns0:ser>
        <ns0:firstSliceAng val="0"/>
      </ns0:pieChart>
    </ns0:plotArea>
    <ns0:legend>
      <ns0:legendPos val="b"/>
      <ns0:layout/>
      <ns0:txPr>
        <ns1:bodyPr/>
        <ns1:lstStyle/>
        <ns1:p>
          <ns1:pPr rtl="0">
            <ns1:defRPr/>
          </ns1:pPr>
          <ns1:endParaRPr lang="en-US"/>
        </ns1:p>
      </ns0:txPr>
    </ns0:legend>
    <ns0:plotVisOnly val="1"/>
  </ns0:chart>
  <ns0:printSettings>
    <ns0:headerFooter/>
    <ns0:pageMargins b="0.75" l="0.7" r="0.7" t="0.75" header="0.3" footer="0.3"/>
    <ns0:pageSetup/>
  </ns0:printSettings>
</ns0:chartSpace>
</file>

<file path=xl/charts/chart2.xml><?xml version="1.0" encoding="utf-8"?>
<ns0:chartSpace xmlns:ns0="http://schemas.openxmlformats.org/drawingml/2006/chart" xmlns:ns1="http://schemas.openxmlformats.org/drawingml/2006/main">
  <ns0:lang val="en-US"/>
  <ns0:chart>
    <ns0:title>
      <ns0:tx>
        <ns0:rich>
          <ns1:bodyPr/>
          <ns1:lstStyle/>
          <ns1:p>
            <ns1:pPr>
              <ns1:defRPr/>
            </ns1:pPr>
            <ns1:r>
              <ns1:rPr lang="en-US"/>
              <ns1:t>Выпуск продукции, шт.</ns1:t>
            </ns1:r>
          </ns1:p>
        </ns0:rich>
      </ns0:tx>
      <ns0:layout/>
    </ns0:title>
    <ns0:plotArea>
      <ns0:layout/>
      <ns0:barChart>
        <ns0:barDir val="col"/>
        <ns0:grouping val="clustered"/>
        <ns0:ser>
          <ns0:idx val="0"/>
          <ns0:order val="0"/>
          <ns0:tx>
            <ns0:v>План</ns0:v>
          </ns0:tx>
          <ns0:dLbls>
            <ns0:showVal val="1"/>
          </ns0:dLbls>
          <ns0:cat>
            <ns0:strRef>
              <ns0:f>'01_ТекстильПром'!$B$3:$B$6</ns0:f>
              <ns0:strCache>
                <ns0:ptCount val="4"/>
                <ns0:pt idx="0">
                  <ns0:v>Платья</ns0:v>
                </ns0:pt>
                <ns0:pt idx="1">
                  <ns0:v>Футболки</ns0:v>
                </ns0:pt>
                <ns0:pt idx="2">
                  <ns0:v>Джинсы</ns0:v>
                </ns0:pt>
                <ns0:pt idx="3">
                  <ns0:v>Юбки</ns0:v>
                </ns0:pt>
              </ns0:strCache>
            </ns0:strRef>
          </ns0:cat>
          <ns0:val>
            <ns0:numRef>
              <ns0:f>'01_ТекстильПром'!$D$3:$D$6</ns0:f>
              <ns0:numCache>
                <ns0:formatCode>General</ns0:formatCode>
                <ns0:ptCount val="4"/>
                <ns0:pt idx="0">
                  <ns0:v>500</ns0:v>
                </ns0:pt>
                <ns0:pt idx="1">
                  <ns0:v>300</ns0:v>
                </ns0:pt>
                <ns0:pt idx="2">
                  <ns0:v>400</ns0:v>
                </ns0:pt>
                <ns0:pt idx="3">
                  <ns0:v>470</ns0:v>
                </ns0:pt>
              </ns0:numCache>
            </ns0:numRef>
          </ns0:val>
        </ns0:ser>
        <ns0:ser>
          <ns0:idx val="1"/>
          <ns0:order val="1"/>
          <ns0:tx>
            <ns0:v>Факт</ns0:v>
          </ns0:tx>
          <ns0:dLbls>
            <ns0:showVal val="1"/>
          </ns0:dLbls>
          <ns0:cat>
            <ns0:strRef>
              <ns0:f>'01_ТекстильПром'!$B$3:$B$6</ns0:f>
              <ns0:strCache>
                <ns0:ptCount val="4"/>
                <ns0:pt idx="0">
                  <ns0:v>Платья</ns0:v>
                </ns0:pt>
                <ns0:pt idx="1">
                  <ns0:v>Футболки</ns0:v>
                </ns0:pt>
                <ns0:pt idx="2">
                  <ns0:v>Джинсы</ns0:v>
                </ns0:pt>
                <ns0:pt idx="3">
                  <ns0:v>Юбки</ns0:v>
                </ns0:pt>
              </ns0:strCache>
            </ns0:strRef>
          </ns0:cat>
          <ns0:val>
            <ns0:numRef>
              <ns0:f>'01_ТекстильПром'!$E$3:$E$6</ns0:f>
              <ns0:numCache>
                <ns0:formatCode>General</ns0:formatCode>
                <ns0:ptCount val="4"/>
                <ns0:pt idx="0">
                  <ns0:v>470</ns0:v>
                </ns0:pt>
                <ns0:pt idx="1">
                  <ns0:v>300</ns0:v>
                </ns0:pt>
                <ns0:pt idx="2">
                  <ns0:v>460</ns0:v>
                </ns0:pt>
                <ns0:pt idx="3">
                  <ns0:v>450</ns0:v>
                </ns0:pt>
              </ns0:numCache>
            </ns0:numRef>
          </ns0:val>
        </ns0:ser>
        <ns0:axId val="50020001"/>
        <ns0:axId val="50020002"/>
      </ns0:barChart>
      <ns0:catAx>
        <ns0:axId val="50020001"/>
        <ns0:scaling>
          <ns0:orientation val="minMax"/>
        </ns0:scaling>
        <ns0:axPos val="b"/>
        <ns0:tickLblPos val="nextTo"/>
        <ns0:crossAx val="50020002"/>
        <ns0:crosses val="autoZero"/>
        <ns0:auto val="1"/>
        <ns0:lblAlgn val="ctr"/>
        <ns0:lblOffset val="100"/>
      </ns0:catAx>
      <ns0:valAx>
        <ns0:axId val="50020002"/>
        <ns0:scaling>
          <ns0:orientation val="minMax"/>
        </ns0:scaling>
        <ns0:axPos val="l"/>
        <ns0:majorGridlines/>
        <ns0:numFmt formatCode="General" sourceLinked="1"/>
        <ns0:tickLblPos val="nextTo"/>
        <ns0:crossAx val="50020001"/>
        <ns0:crosses val="autoZero"/>
        <ns0:crossBetween val="between"/>
      </ns0:valAx>
    </ns0:plotArea>
    <ns0:legend>
      <ns0:legendPos val="b"/>
      <ns0:layout/>
    </ns0:legend>
    <ns0:plotVisOnly val="1"/>
  </ns0:chart>
  <ns0:printSettings>
    <ns0:headerFooter/>
    <ns0:pageMargins b="0.75" l="0.7" r="0.7" t="0.75" header="0.3" footer="0.3"/>
    <ns0:pageSetup/>
  </ns0:printSettings>
</ns0:chartSpace>
</file>

<file path=xl/charts/chart3.xml><?xml version="1.0" encoding="utf-8"?>
<ns0:chartSpace xmlns:ns0="http://schemas.openxmlformats.org/drawingml/2006/chart" xmlns:ns1="http://schemas.openxmlformats.org/drawingml/2006/main">
  <ns0:lang val="en-US"/>
  <ns0:chart>
    <ns0:title>
      <ns0:tx>
        <ns0:rich>
          <ns1:bodyPr/>
          <ns1:lstStyle/>
          <ns1:p>
            <ns1:pPr>
              <ns1:defRPr/>
            </ns1:pPr>
            <ns1:r>
              <ns1:rPr lang="en-US"/>
              <ns1:t>Ежемесячные продажи, тыс. ₽</ns1:t>
            </ns1:r>
          </ns1:p>
        </ns0:rich>
      </ns0:tx>
      <ns0:layout/>
    </ns0:title>
    <ns0:plotArea>
      <ns0:layout/>
      <ns0:lineChart>
        <ns0:grouping val="standard"/>
        <ns0:ser>
          <ns0:idx val="0"/>
          <ns0:order val="0"/>
          <ns0:tx>
            <ns0:v>Продажи</ns0:v>
          </ns0:tx>
          <ns0:marker>
            <ns0:symbol val="circle"/>
          </ns0:marker>
          <ns0:dLbls>
            <ns0:showVal val="1"/>
          </ns0:dLbls>
          <ns0:cat>
            <ns0:strRef>
              <ns0:f>'08_Продажи'!$A$2:$A$13</ns0:f>
              <ns0:strCache>
                <ns0:ptCount val="12"/>
                <ns0:pt idx="0">
                  <ns0:v>Январь</ns0:v>
                </ns0:pt>
                <ns0:pt idx="1">
                  <ns0:v>Февраль</ns0:v>
                </ns0:pt>
                <ns0:pt idx="2">
                  <ns0:v>Март</ns0:v>
                </ns0:pt>
                <ns0:pt idx="3">
                  <ns0:v>Апрель</ns0:v>
                </ns0:pt>
                <ns0:pt idx="4">
                  <ns0:v>Май</ns0:v>
                </ns0:pt>
                <ns0:pt idx="5">
                  <ns0:v>Июнь</ns0:v>
                </ns0:pt>
                <ns0:pt idx="6">
                  <ns0:v>Июль</ns0:v>
                </ns0:pt>
                <ns0:pt idx="7">
                  <ns0:v>Август</ns0:v>
                </ns0:pt>
                <ns0:pt idx="8">
                  <ns0:v>Сентябрь</ns0:v>
                </ns0:pt>
                <ns0:pt idx="9">
                  <ns0:v>Октябрь</ns0:v>
                </ns0:pt>
                <ns0:pt idx="10">
                  <ns0:v>Ноябрь</ns0:v>
                </ns0:pt>
                <ns0:pt idx="11">
                  <ns0:v>Декабрь</ns0:v>
                </ns0:pt>
              </ns0:strCache>
            </ns0:strRef>
          </ns0:cat>
          <ns0:val>
            <ns0:numRef>
              <ns0:f>'08_Продажи'!$B$2:$B$13</ns0:f>
              <ns0:numCache>
                <ns0:formatCode>General</ns0:formatCode>
                <ns0:ptCount val="12"/>
                <ns0:pt idx="0">
                  <ns0:v>120</ns0:v>
                </ns0:pt>
                <ns0:pt idx="1">
                  <ns0:v>150</ns0:v>
                </ns0:pt>
                <ns0:pt idx="2">
                  <ns0:v>90</ns0:v>
                </ns0:pt>
                <ns0:pt idx="3">
                  <ns0:v>200</ns0:v>
                </ns0:pt>
                <ns0:pt idx="4">
                  <ns0:v>180</ns0:v>
                </ns0:pt>
                <ns0:pt idx="5">
                  <ns0:v>210</ns0:v>
                </ns0:pt>
                <ns0:pt idx="6">
                  <ns0:v>95</ns0:v>
                </ns0:pt>
                <ns0:pt idx="7">
                  <ns0:v>130</ns0:v>
                </ns0:pt>
                <ns0:pt idx="8">
                  <ns0:v>170</ns0:v>
                </ns0:pt>
                <ns0:pt idx="9">
                  <ns0:v>220</ns0:v>
                </ns0:pt>
                <ns0:pt idx="10">
                  <ns0:v>250</ns0:v>
                </ns0:pt>
                <ns0:pt idx="11">
                  <ns0:v>300</ns0:v>
                </ns0:pt>
              </ns0:numCache>
            </ns0:numRef>
          </ns0:val>
        </ns0:ser>
        <ns0:marker val="1"/>
        <ns0:axId val="50030001"/>
        <ns0:axId val="50030002"/>
      </ns0:lineChart>
      <ns0:catAx>
        <ns0:axId val="50030001"/>
        <ns0:scaling>
          <ns0:orientation val="minMax"/>
        </ns0:scaling>
        <ns0:axPos val="b"/>
        <ns0:tickLblPos val="nextTo"/>
        <ns0:crossAx val="50030002"/>
        <ns0:crosses val="autoZero"/>
        <ns0:auto val="1"/>
        <ns0:lblAlgn val="ctr"/>
        <ns0:lblOffset val="100"/>
      </ns0:catAx>
      <ns0:valAx>
        <ns0:axId val="50030002"/>
        <ns0:scaling>
          <ns0:orientation val="minMax"/>
        </ns0:scaling>
        <ns0:axPos val="l"/>
        <ns0:majorGridlines/>
        <ns0:numFmt formatCode="General" sourceLinked="1"/>
        <ns0:tickLblPos val="nextTo"/>
        <ns0:crossAx val="50030001"/>
        <ns0:crosses val="autoZero"/>
        <ns0:crossBetween val="between"/>
      </ns0:valAx>
    </ns0:plotArea>
    <ns0:legend>
      <ns0:legendPos val="b"/>
      <ns0:layout/>
    </ns0:legend>
    <ns0:plotVisOnly val="1"/>
  </ns0:chart>
  <ns0:printSettings>
    <ns0:headerFooter/>
    <ns0:pageMargins b="0.75" l="0.7" r="0.7" t="0.75" header="0.3" footer="0.3"/>
    <ns0:pageSetup/>
  </ns0:printSettings>
</ns0:chartSpace>
</file>

<file path=xl/charts/chart4.xml><?xml version="1.0" encoding="utf-8"?>
<ns0:chartSpace xmlns:ns0="http://schemas.openxmlformats.org/drawingml/2006/chart" xmlns:ns1="http://schemas.openxmlformats.org/drawingml/2006/main">
  <ns0:lang val="en-US"/>
  <ns0:chart>
    <ns0:title>
      <ns0:tx>
        <ns0:rich>
          <ns1:bodyPr/>
          <ns1:lstStyle/>
          <ns1:p>
            <ns1:pPr>
              <ns1:defRPr/>
            </ns1:pPr>
            <ns1:r>
              <ns1:rPr lang="en-US"/>
              <ns1:t>Отработанные часы по сотрудникам</ns1:t>
            </ns1:r>
          </ns1:p>
        </ns0:rich>
      </ns0:tx>
      <ns0:layout/>
    </ns0:title>
    <ns0:plotArea>
      <ns0:layout/>
      <ns0:barChart>
        <ns0:barDir val="col"/>
        <ns0:grouping val="clustered"/>
        <ns0:ser>
          <ns0:idx val="0"/>
          <ns0:order val="0"/>
          <ns0:tx>
            <ns0:v>Часы</ns0:v>
          </ns0:tx>
          <ns0:dLbls>
            <ns0:showVal val="1"/>
          </ns0:dLbls>
          <ns0:cat>
            <ns0:strRef>
              <ns0:f>'13_В1_Рабочее_время'!$A$2:$A$6</ns0:f>
              <ns0:strCache>
                <ns0:ptCount val="5"/>
                <ns0:pt idx="0">
                  <ns0:v>Иванов</ns0:v>
                </ns0:pt>
                <ns0:pt idx="1">
                  <ns0:v>Петрова</ns0:v>
                </ns0:pt>
                <ns0:pt idx="2">
                  <ns0:v>Сидоров</ns0:v>
                </ns0:pt>
                <ns0:pt idx="3">
                  <ns0:v>Смирнова</ns0:v>
                </ns0:pt>
                <ns0:pt idx="4">
                  <ns0:v>Кузнецов</ns0:v>
                </ns0:pt>
              </ns0:strCache>
            </ns0:strRef>
          </ns0:cat>
          <ns0:val>
            <ns0:numRef>
              <ns0:f>'13_В1_Рабочее_время'!$F$2:$F$6</ns0:f>
              <ns0:numCache>
                <ns0:formatCode>General</ns0:formatCode>
                <ns0:ptCount val="5"/>
                <ns0:pt idx="0">
                  <ns0:v>8</ns0:v>
                </ns0:pt>
                <ns0:pt idx="1">
                  <ns0:v>8</ns0:v>
                </ns0:pt>
                <ns0:pt idx="2">
                  <ns0:v>7.5</ns0:v>
                </ns0:pt>
                <ns0:pt idx="3">
                  <ns0:v>7.5</ns0:v>
                </ns0:pt>
                <ns0:pt idx="4">
                  <ns0:v>8</ns0:v>
                </ns0:pt>
              </ns0:numCache>
            </ns0:numRef>
          </ns0:val>
        </ns0:ser>
        <ns0:axId val="50040001"/>
        <ns0:axId val="50040002"/>
      </ns0:barChart>
      <ns0:catAx>
        <ns0:axId val="50040001"/>
        <ns0:scaling>
          <ns0:orientation val="minMax"/>
        </ns0:scaling>
        <ns0:axPos val="b"/>
        <ns0:tickLblPos val="nextTo"/>
        <ns0:crossAx val="50040002"/>
        <ns0:crosses val="autoZero"/>
        <ns0:auto val="1"/>
        <ns0:lblAlgn val="ctr"/>
        <ns0:lblOffset val="100"/>
      </ns0:catAx>
      <ns0:valAx>
        <ns0:axId val="50040002"/>
        <ns0:scaling>
          <ns0:orientation val="minMax"/>
        </ns0:scaling>
        <ns0:axPos val="l"/>
        <ns0:majorGridlines/>
        <ns0:numFmt formatCode="General" sourceLinked="1"/>
        <ns0:tickLblPos val="nextTo"/>
        <ns0:crossAx val="50040001"/>
        <ns0:crosses val="autoZero"/>
        <ns0:crossBetween val="between"/>
      </ns0:valAx>
    </ns0:plotArea>
    <ns0:legend>
      <ns0:legendPos val="b"/>
      <ns0:layout/>
    </ns0:legend>
    <ns0:plotVisOnly val="1"/>
  </ns0:chart>
  <ns0:printSettings>
    <ns0:headerFooter/>
    <ns0:pageMargins b="0.75" l="0.7" r="0.7" t="0.75" header="0.3" footer="0.3"/>
    <ns0:pageSetup/>
  </ns0:printSettings>
</ns0:chartSpace>
</file>

<file path=xl/charts/chart5.xml><?xml version="1.0" encoding="utf-8"?>
<ns0:chartSpace xmlns:ns0="http://schemas.openxmlformats.org/drawingml/2006/chart" xmlns:ns1="http://schemas.openxmlformats.org/drawingml/2006/main">
  <ns0:lang val="en-US"/>
  <ns0:chart>
    <ns0:title>
      <ns0:tx>
        <ns0:rich>
          <ns1:bodyPr/>
          <ns1:lstStyle/>
          <ns1:p>
            <ns1:pPr>
              <ns1:defRPr/>
            </ns1:pPr>
            <ns1:r>
              <ns1:rPr lang="en-US"/>
              <ns1:t>Структура фонда оплаты труда</ns1:t>
            </ns1:r>
          </ns1:p>
        </ns0:rich>
      </ns0:tx>
      <ns0:layout/>
    </ns0:title>
    <ns0:plotArea>
      <ns0:layout/>
      <ns0:pieChart>
        <ns0:varyColors val="1"/>
        <ns0:ser>
          <ns0:idx val="0"/>
          <ns0:order val="0"/>
          <ns0:tx>
            <ns0:v>Зарплата</ns0:v>
          </ns0:tx>
          <ns0:dLbls>
            <ns0:showPercent val="1"/>
          </ns0:dLbls>
          <ns0:cat>
            <ns0:strRef>
              <ns0:f>'13_В1_Рабочее_время'!$A$2:$A$6</ns0:f>
              <ns0:strCache>
                <ns0:ptCount val="5"/>
                <ns0:pt idx="0">
                  <ns0:v>Иванов</ns0:v>
                </ns0:pt>
                <ns0:pt idx="1">
                  <ns0:v>Петрова</ns0:v>
                </ns0:pt>
                <ns0:pt idx="2">
                  <ns0:v>Сидоров</ns0:v>
                </ns0:pt>
                <ns0:pt idx="3">
                  <ns0:v>Смирнова</ns0:v>
                </ns0:pt>
                <ns0:pt idx="4">
                  <ns0:v>Кузнецов</ns0:v>
                </ns0:pt>
              </ns0:strCache>
            </ns0:strRef>
          </ns0:cat>
          <ns0:val>
            <ns0:numRef>
              <ns0:f>'13_В1_Рабочее_время'!$H$2:$H$6</ns0:f>
              <ns0:numCache>
                <ns0:formatCode>General</ns0:formatCode>
                <ns0:ptCount val="5"/>
                <ns0:pt idx="0">
                  <ns0:v>2800</ns0:v>
                </ns0:pt>
                <ns0:pt idx="1">
                  <ns0:v>3200</ns0:v>
                </ns0:pt>
                <ns0:pt idx="2">
                  <ns0:v>2850.0</ns0:v>
                </ns0:pt>
                <ns0:pt idx="3">
                  <ns0:v>3150.0</ns0:v>
                </ns0:pt>
                <ns0:pt idx="4">
                  <ns0:v>2880</ns0:v>
                </ns0:pt>
              </ns0:numCache>
            </ns0:numRef>
          </ns0:val>
        </ns0:ser>
        <ns0:firstSliceAng val="0"/>
      </ns0:pieChart>
    </ns0:plotArea>
    <ns0:legend>
      <ns0:legendPos val="b"/>
      <ns0:layout/>
      <ns0:txPr>
        <ns1:bodyPr/>
        <ns1:lstStyle/>
        <ns1:p>
          <ns1:pPr rtl="0">
            <ns1:defRPr/>
          </ns1:pPr>
          <ns1:endParaRPr lang="en-US"/>
        </ns1:p>
      </ns0:txPr>
    </ns0:legend>
    <ns0:plotVisOnly val="1"/>
  </ns0:chart>
  <ns0:printSettings>
    <ns0:headerFooter/>
    <ns0:pageMargins b="0.75" l="0.7" r="0.7" t="0.75" header="0.3" footer="0.3"/>
    <ns0:pageSetup/>
  </ns0:printSettings>
</ns0:chartSpace>
</file>

<file path=xl/charts/chart6.xml><?xml version="1.0" encoding="utf-8"?>
<ns0:chartSpace xmlns:ns0="http://schemas.openxmlformats.org/drawingml/2006/chart" xmlns:ns1="http://schemas.openxmlformats.org/drawingml/2006/main">
  <ns0:lang val="en-US"/>
  <ns0:chart>
    <ns0:title>
      <ns0:tx>
        <ns0:rich>
          <ns1:bodyPr/>
          <ns1:lstStyle/>
          <ns1:p>
            <ns1:pPr>
              <ns1:defRPr/>
            </ns1:pPr>
            <ns1:r>
              <ns1:rPr lang="en-US"/>
              <ns1:t>Остаток и минимальный запас, м</ns1:t>
            </ns1:r>
          </ns1:p>
        </ns0:rich>
      </ns0:tx>
      <ns0:layout/>
    </ns0:title>
    <ns0:plotArea>
      <ns0:layout/>
      <ns0:barChart>
        <ns0:barDir val="col"/>
        <ns0:grouping val="clustered"/>
        <ns0:ser>
          <ns0:idx val="0"/>
          <ns0:order val="0"/>
          <ns0:tx>
            <ns0:v>Остаток</ns0:v>
          </ns0:tx>
          <ns0:dLbls>
            <ns0:showVal val="1"/>
          </ns0:dLbls>
          <ns0:cat>
            <ns0:strRef>
              <ns0:f>'14_В2_Склад'!$A$2:$A$6</ns0:f>
              <ns0:strCache>
                <ns0:ptCount val="5"/>
                <ns0:pt idx="0">
                  <ns0:v>Хлопок</ns0:v>
                </ns0:pt>
                <ns0:pt idx="1">
                  <ns0:v>Лён</ns0:v>
                </ns0:pt>
                <ns0:pt idx="2">
                  <ns0:v>Шёлк</ns0:v>
                </ns0:pt>
                <ns0:pt idx="3">
                  <ns0:v>Деним</ns0:v>
                </ns0:pt>
                <ns0:pt idx="4">
                  <ns0:v>Подкладка</ns0:v>
                </ns0:pt>
              </ns0:strCache>
            </ns0:strRef>
          </ns0:cat>
          <ns0:val>
            <ns0:numRef>
              <ns0:f>'14_В2_Склад'!$F$2:$F$6</ns0:f>
              <ns0:numCache>
                <ns0:formatCode>General</ns0:formatCode>
                <ns0:ptCount val="5"/>
                <ns0:pt idx="0">
                  <ns0:v>100</ns0:v>
                </ns0:pt>
                <ns0:pt idx="1">
                  <ns0:v>200</ns0:v>
                </ns0:pt>
                <ns0:pt idx="2">
                  <ns0:v>30</ns0:v>
                </ns0:pt>
                <ns0:pt idx="3">
                  <ns0:v>400</ns0:v>
                </ns0:pt>
                <ns0:pt idx="4">
                  <ns0:v>80</ns0:v>
                </ns0:pt>
              </ns0:numCache>
            </ns0:numRef>
          </ns0:val>
        </ns0:ser>
        <ns0:ser>
          <ns0:idx val="1"/>
          <ns0:order val="1"/>
          <ns0:tx>
            <ns0:v>Минимум</ns0:v>
          </ns0:tx>
          <ns0:dLbls>
            <ns0:showVal val="1"/>
          </ns0:dLbls>
          <ns0:cat>
            <ns0:strRef>
              <ns0:f>'14_В2_Склад'!$A$2:$A$6</ns0:f>
              <ns0:strCache>
                <ns0:ptCount val="5"/>
                <ns0:pt idx="0">
                  <ns0:v>Хлопок</ns0:v>
                </ns0:pt>
                <ns0:pt idx="1">
                  <ns0:v>Лён</ns0:v>
                </ns0:pt>
                <ns0:pt idx="2">
                  <ns0:v>Шёлк</ns0:v>
                </ns0:pt>
                <ns0:pt idx="3">
                  <ns0:v>Деним</ns0:v>
                </ns0:pt>
                <ns0:pt idx="4">
                  <ns0:v>Подкладка</ns0:v>
                </ns0:pt>
              </ns0:strCache>
            </ns0:strRef>
          </ns0:cat>
          <ns0:val>
            <ns0:numRef>
              <ns0:f>'14_В2_Склад'!$G$2:$G$6</ns0:f>
              <ns0:numCache>
                <ns0:formatCode>General</ns0:formatCode>
                <ns0:ptCount val="5"/>
                <ns0:pt idx="0">
                  <ns0:v>150</ns0:v>
                </ns0:pt>
                <ns0:pt idx="1">
                  <ns0:v>100</ns0:v>
                </ns0:pt>
                <ns0:pt idx="2">
                  <ns0:v>50</ns0:v>
                </ns0:pt>
                <ns0:pt idx="3">
                  <ns0:v>250</ns0:v>
                </ns0:pt>
                <ns0:pt idx="4">
                  <ns0:v>100</ns0:v>
                </ns0:pt>
              </ns0:numCache>
            </ns0:numRef>
          </ns0:val>
        </ns0:ser>
        <ns0:axId val="50060001"/>
        <ns0:axId val="50060002"/>
      </ns0:barChart>
      <ns0:catAx>
        <ns0:axId val="50060001"/>
        <ns0:scaling>
          <ns0:orientation val="minMax"/>
        </ns0:scaling>
        <ns0:axPos val="b"/>
        <ns0:tickLblPos val="nextTo"/>
        <ns0:crossAx val="50060002"/>
        <ns0:crosses val="autoZero"/>
        <ns0:auto val="1"/>
        <ns0:lblAlgn val="ctr"/>
        <ns0:lblOffset val="100"/>
      </ns0:catAx>
      <ns0:valAx>
        <ns0:axId val="50060002"/>
        <ns0:scaling>
          <ns0:orientation val="minMax"/>
        </ns0:scaling>
        <ns0:axPos val="l"/>
        <ns0:majorGridlines/>
        <ns0:numFmt formatCode="General" sourceLinked="1"/>
        <ns0:tickLblPos val="nextTo"/>
        <ns0:crossAx val="50060001"/>
        <ns0:crosses val="autoZero"/>
        <ns0:crossBetween val="between"/>
      </ns0:valAx>
    </ns0:plotArea>
    <ns0:legend>
      <ns0:legendPos val="b"/>
      <ns0:layout/>
    </ns0:legend>
    <ns0:plotVisOnly val="1"/>
  </ns0:chart>
  <ns0:printSettings>
    <ns0:headerFooter/>
    <ns0:pageMargins b="0.75" l="0.7" r="0.7" t="0.75" header="0.3" footer="0.3"/>
    <ns0:pageSetup/>
  </ns0:printSettings>
</ns0:chartSpace>
</file>

<file path=xl/charts/chart7.xml><?xml version="1.0" encoding="utf-8"?>
<ns0:chartSpace xmlns:ns0="http://schemas.openxmlformats.org/drawingml/2006/chart" xmlns:ns1="http://schemas.openxmlformats.org/drawingml/2006/main">
  <ns0:lang val="en-US"/>
  <ns0:chart>
    <ns0:title>
      <ns0:tx>
        <ns0:rich>
          <ns1:bodyPr/>
          <ns1:lstStyle/>
          <ns1:p>
            <ns1:pPr>
              <ns1:defRPr/>
            </ns1:pPr>
            <ns1:r>
              <ns1:rPr lang="en-US"/>
              <ns1:t>Структура запасов, м</ns1:t>
            </ns1:r>
          </ns1:p>
        </ns0:rich>
      </ns0:tx>
      <ns0:layout/>
    </ns0:title>
    <ns0:plotArea>
      <ns0:layout/>
      <ns0:pieChart>
        <ns0:varyColors val="1"/>
        <ns0:ser>
          <ns0:idx val="0"/>
          <ns0:order val="0"/>
          <ns0:tx>
            <ns0:v>Остаток</ns0:v>
          </ns0:tx>
          <ns0:dLbls>
            <ns0:showPercent val="1"/>
          </ns0:dLbls>
          <ns0:cat>
            <ns0:strRef>
              <ns0:f>'14_В2_Склад'!$A$2:$A$6</ns0:f>
              <ns0:strCache>
                <ns0:ptCount val="5"/>
                <ns0:pt idx="0">
                  <ns0:v>Хлопок</ns0:v>
                </ns0:pt>
                <ns0:pt idx="1">
                  <ns0:v>Лён</ns0:v>
                </ns0:pt>
                <ns0:pt idx="2">
                  <ns0:v>Шёлк</ns0:v>
                </ns0:pt>
                <ns0:pt idx="3">
                  <ns0:v>Деним</ns0:v>
                </ns0:pt>
                <ns0:pt idx="4">
                  <ns0:v>Подкладка</ns0:v>
                </ns0:pt>
              </ns0:strCache>
            </ns0:strRef>
          </ns0:cat>
          <ns0:val>
            <ns0:numRef>
              <ns0:f>'14_В2_Склад'!$F$2:$F$6</ns0:f>
              <ns0:numCache>
                <ns0:formatCode>General</ns0:formatCode>
                <ns0:ptCount val="5"/>
                <ns0:pt idx="0">
                  <ns0:v>100</ns0:v>
                </ns0:pt>
                <ns0:pt idx="1">
                  <ns0:v>200</ns0:v>
                </ns0:pt>
                <ns0:pt idx="2">
                  <ns0:v>30</ns0:v>
                </ns0:pt>
                <ns0:pt idx="3">
                  <ns0:v>400</ns0:v>
                </ns0:pt>
                <ns0:pt idx="4">
                  <ns0:v>80</ns0:v>
                </ns0:pt>
              </ns0:numCache>
            </ns0:numRef>
          </ns0:val>
        </ns0:ser>
        <ns0:firstSliceAng val="0"/>
      </ns0:pieChart>
    </ns0:plotArea>
    <ns0:legend>
      <ns0:legendPos val="b"/>
      <ns0:layout/>
      <ns0:txPr>
        <ns1:bodyPr/>
        <ns1:lstStyle/>
        <ns1:p>
          <ns1:pPr rtl="0">
            <ns1:defRPr/>
          </ns1:pPr>
          <ns1:endParaRPr lang="en-US"/>
        </ns1:p>
      </ns0:txPr>
    </ns0:legend>
    <ns0:plotVisOnly val="1"/>
  </ns0:chart>
  <ns0:printSettings>
    <ns0:headerFooter/>
    <ns0:pageMargins b="0.75" l="0.7" r="0.7" t="0.75" header="0.3" footer="0.3"/>
    <ns0:pageSetup/>
  </ns0:printSettings>
</ns0:chartSpace>
</file>

<file path=xl/charts/chart8.xml><?xml version="1.0" encoding="utf-8"?>
<ns0:chartSpace xmlns:ns0="http://schemas.openxmlformats.org/drawingml/2006/chart" xmlns:ns1="http://schemas.openxmlformats.org/drawingml/2006/main">
  <ns0:lang val="en-US"/>
  <ns0:chart>
    <ns0:title>
      <ns0:tx>
        <ns0:rich>
          <ns1:bodyPr/>
          <ns1:lstStyle/>
          <ns1:p>
            <ns1:pPr>
              <ns1:defRPr/>
            </ns1:pPr>
            <ns1:r>
              <ns1:rPr lang="en-US"/>
              <ns1:t>План и годный выпуск, шт.</ns1:t>
            </ns1:r>
          </ns1:p>
        </ns0:rich>
      </ns0:tx>
      <ns0:layout/>
    </ns0:title>
    <ns0:plotArea>
      <ns0:layout/>
      <ns0:barChart>
        <ns0:barDir val="col"/>
        <ns0:grouping val="clustered"/>
        <ns0:ser>
          <ns0:idx val="0"/>
          <ns0:order val="0"/>
          <ns0:tx>
            <ns0:v>План</ns0:v>
          </ns0:tx>
          <ns0:dLbls>
            <ns0:showVal val="1"/>
          </ns0:dLbls>
          <ns0:cat>
            <ns0:strRef>
              <ns0:f>'15_В3_Производство'!$A$2:$A$5</ns0:f>
              <ns0:strCache>
                <ns0:ptCount val="4"/>
                <ns0:pt idx="0">
                  <ns0:v>Платья</ns0:v>
                </ns0:pt>
                <ns0:pt idx="1">
                  <ns0:v>Футболки</ns0:v>
                </ns0:pt>
                <ns0:pt idx="2">
                  <ns0:v>Джинсы</ns0:v>
                </ns0:pt>
                <ns0:pt idx="3">
                  <ns0:v>Юбки</ns0:v>
                </ns0:pt>
              </ns0:strCache>
            </ns0:strRef>
          </ns0:cat>
          <ns0:val>
            <ns0:numRef>
              <ns0:f>'15_В3_Производство'!$B$2:$B$5</ns0:f>
              <ns0:numCache>
                <ns0:formatCode>General</ns0:formatCode>
                <ns0:ptCount val="4"/>
                <ns0:pt idx="0">
                  <ns0:v>500</ns0:v>
                </ns0:pt>
                <ns0:pt idx="1">
                  <ns0:v>300</ns0:v>
                </ns0:pt>
                <ns0:pt idx="2">
                  <ns0:v>400</ns0:v>
                </ns0:pt>
                <ns0:pt idx="3">
                  <ns0:v>470</ns0:v>
                </ns0:pt>
              </ns0:numCache>
            </ns0:numRef>
          </ns0:val>
        </ns0:ser>
        <ns0:ser>
          <ns0:idx val="1"/>
          <ns0:order val="1"/>
          <ns0:tx>
            <ns0:v>Годный выпуск</ns0:v>
          </ns0:tx>
          <ns0:dLbls>
            <ns0:showVal val="1"/>
          </ns0:dLbls>
          <ns0:cat>
            <ns0:strRef>
              <ns0:f>'15_В3_Производство'!$A$2:$A$5</ns0:f>
              <ns0:strCache>
                <ns0:ptCount val="4"/>
                <ns0:pt idx="0">
                  <ns0:v>Платья</ns0:v>
                </ns0:pt>
                <ns0:pt idx="1">
                  <ns0:v>Футболки</ns0:v>
                </ns0:pt>
                <ns0:pt idx="2">
                  <ns0:v>Джинсы</ns0:v>
                </ns0:pt>
                <ns0:pt idx="3">
                  <ns0:v>Юбки</ns0:v>
                </ns0:pt>
              </ns0:strCache>
            </ns0:strRef>
          </ns0:cat>
          <ns0:val>
            <ns0:numRef>
              <ns0:f>'15_В3_Производство'!$E$2:$E$5</ns0:f>
              <ns0:numCache>
                <ns0:formatCode>General</ns0:formatCode>
                <ns0:ptCount val="4"/>
                <ns0:pt idx="0">
                  <ns0:v>460</ns0:v>
                </ns0:pt>
                <ns0:pt idx="1">
                  <ns0:v>297</ns0:v>
                </ns0:pt>
                <ns0:pt idx="2">
                  <ns0:v>454</ns0:v>
                </ns0:pt>
                <ns0:pt idx="3">
                  <ns0:v>441</ns0:v>
                </ns0:pt>
              </ns0:numCache>
            </ns0:numRef>
          </ns0:val>
        </ns0:ser>
        <ns0:axId val="50080001"/>
        <ns0:axId val="50080002"/>
      </ns0:barChart>
      <ns0:catAx>
        <ns0:axId val="50080001"/>
        <ns0:scaling>
          <ns0:orientation val="minMax"/>
        </ns0:scaling>
        <ns0:axPos val="b"/>
        <ns0:tickLblPos val="nextTo"/>
        <ns0:crossAx val="50080002"/>
        <ns0:crosses val="autoZero"/>
        <ns0:auto val="1"/>
        <ns0:lblAlgn val="ctr"/>
        <ns0:lblOffset val="100"/>
      </ns0:catAx>
      <ns0:valAx>
        <ns0:axId val="50080002"/>
        <ns0:scaling>
          <ns0:orientation val="minMax"/>
        </ns0:scaling>
        <ns0:axPos val="l"/>
        <ns0:majorGridlines/>
        <ns0:numFmt formatCode="General" sourceLinked="1"/>
        <ns0:tickLblPos val="nextTo"/>
        <ns0:crossAx val="50080001"/>
        <ns0:crosses val="autoZero"/>
        <ns0:crossBetween val="between"/>
      </ns0:valAx>
    </ns0:plotArea>
    <ns0:legend>
      <ns0:legendPos val="b"/>
      <ns0:layout/>
    </ns0:legend>
    <ns0:plotVisOnly val="1"/>
  </ns0:chart>
  <ns0:printSettings>
    <ns0:headerFooter/>
    <ns0:pageMargins b="0.75" l="0.7" r="0.7" t="0.75" header="0.3" footer="0.3"/>
    <ns0:pageSetup/>
  </ns0:printSettings>
</ns0:chartSpace>
</file>

<file path=xl/charts/chart9.xml><?xml version="1.0" encoding="utf-8"?>
<ns0:chartSpace xmlns:ns0="http://schemas.openxmlformats.org/drawingml/2006/chart" xmlns:ns1="http://schemas.openxmlformats.org/drawingml/2006/main">
  <ns0:lang val="en-US"/>
  <ns0:chart>
    <ns0:title>
      <ns0:tx>
        <ns0:rich>
          <ns1:bodyPr/>
          <ns1:lstStyle/>
          <ns1:p>
            <ns1:pPr>
              <ns1:defRPr/>
            </ns1:pPr>
            <ns1:r>
              <ns1:rPr lang="en-US"/>
              <ns1:t>Распределение брака по изделиям</ns1:t>
            </ns1:r>
          </ns1:p>
        </ns0:rich>
      </ns0:tx>
      <ns0:layout/>
    </ns0:title>
    <ns0:plotArea>
      <ns0:layout/>
      <ns0:pieChart>
        <ns0:varyColors val="1"/>
        <ns0:ser>
          <ns0:idx val="0"/>
          <ns0:order val="0"/>
          <ns0:tx>
            <ns0:v>Брак</ns0:v>
          </ns0:tx>
          <ns0:dLbls>
            <ns0:showPercent val="1"/>
          </ns0:dLbls>
          <ns0:cat>
            <ns0:strRef>
              <ns0:f>'15_В3_Производство'!$A$2:$A$5</ns0:f>
              <ns0:strCache>
                <ns0:ptCount val="4"/>
                <ns0:pt idx="0">
                  <ns0:v>Платья</ns0:v>
                </ns0:pt>
                <ns0:pt idx="1">
                  <ns0:v>Футболки</ns0:v>
                </ns0:pt>
                <ns0:pt idx="2">
                  <ns0:v>Джинсы</ns0:v>
                </ns0:pt>
                <ns0:pt idx="3">
                  <ns0:v>Юбки</ns0:v>
                </ns0:pt>
              </ns0:strCache>
            </ns0:strRef>
          </ns0:cat>
          <ns0:val>
            <ns0:numRef>
              <ns0:f>'15_В3_Производство'!$D$2:$D$5</ns0:f>
              <ns0:numCache>
                <ns0:formatCode>General</ns0:formatCode>
                <ns0:ptCount val="4"/>
                <ns0:pt idx="0">
                  <ns0:v>10</ns0:v>
                </ns0:pt>
                <ns0:pt idx="1">
                  <ns0:v>3</ns0:v>
                </ns0:pt>
                <ns0:pt idx="2">
                  <ns0:v>6</ns0:v>
                </ns0:pt>
                <ns0:pt idx="3">
                  <ns0:v>9</ns0:v>
                </ns0:pt>
              </ns0:numCache>
            </ns0:numRef>
          </ns0:val>
        </ns0:ser>
        <ns0:firstSliceAng val="0"/>
      </ns0:pieChart>
    </ns0:plotArea>
    <ns0:legend>
      <ns0:legendPos val="b"/>
      <ns0:layout/>
      <ns0:txPr>
        <ns1:bodyPr/>
        <ns1:lstStyle/>
        <ns1:p>
          <ns1:pPr rtl="0">
            <ns1:defRPr/>
          </ns1:pPr>
          <ns1:endParaRPr lang="en-US"/>
        </ns1:p>
      </ns0:txPr>
    </ns0:legend>
    <ns0:plotVisOnly val="1"/>
  </ns0:chart>
  <ns0:printSettings>
    <ns0:headerFooter/>
    <ns0:pageMargins b="0.75" l="0.7" r="0.7" t="0.75" header="0.3" footer="0.3"/>
    <ns0:pageSetup/>
  </ns0:printSettings>
</ns0:chartSpace>
</file>

<file path=xl/charts/chart10.xml><?xml version="1.0" encoding="utf-8"?>
<ns0:chartSpace xmlns:ns0="http://schemas.openxmlformats.org/drawingml/2006/chart" xmlns:ns1="http://schemas.openxmlformats.org/drawingml/2006/main">
  <ns0:lang val="en-US"/>
  <ns0:chart>
    <ns0:title>
      <ns0:tx>
        <ns0:rich>
          <ns1:bodyPr/>
          <ns1:lstStyle/>
          <ns1:p>
            <ns1:pPr>
              <ns1:defRPr/>
            </ns1:pPr>
            <ns1:r>
              <ns1:rPr lang="en-US"/>
              <ns1:t>Пробег по маршрутам, км</ns1:t>
            </ns1:r>
          </ns1:p>
        </ns0:rich>
      </ns0:tx>
      <ns0:layout/>
    </ns0:title>
    <ns0:plotArea>
      <ns0:layout/>
      <ns0:barChart>
        <ns0:barDir val="col"/>
        <ns0:grouping val="clustered"/>
        <ns0:ser>
          <ns0:idx val="0"/>
          <ns0:order val="0"/>
          <ns0:tx>
            <ns0:v>Пробег</ns0:v>
          </ns0:tx>
          <ns0:dLbls>
            <ns0:showVal val="1"/>
          </ns0:dLbls>
          <ns0:cat>
            <ns0:strRef>
              <ns0:f>'16_В4_Доставка'!$A$2:$A$5</ns0:f>
              <ns0:strCache>
                <ns0:ptCount val="4"/>
                <ns0:pt idx="0">
                  <ns0:v>Склад → магазин А</ns0:v>
                </ns0:pt>
                <ns0:pt idx="1">
                  <ns0:v>Склад → магазин Б</ns0:v>
                </ns0:pt>
                <ns0:pt idx="2">
                  <ns0:v>Склад → фабрика</ns0:v>
                </ns0:pt>
                <ns0:pt idx="3">
                  <ns0:v>Склад → пункт выдачи</ns0:v>
                </ns0:pt>
              </ns0:strCache>
            </ns0:strRef>
          </ns0:cat>
          <ns0:val>
            <ns0:numRef>
              <ns0:f>'16_В4_Доставка'!$E$2:$E$5</ns0:f>
              <ns0:numCache>
                <ns0:formatCode>General</ns0:formatCode>
                <ns0:ptCount val="4"/>
                <ns0:pt idx="0">
                  <ns0:v>200</ns0:v>
                </ns0:pt>
                <ns0:pt idx="1">
                  <ns0:v>210</ns0:v>
                </ns0:pt>
                <ns0:pt idx="2">
                  <ns0:v>240</ns0:v>
                </ns0:pt>
                <ns0:pt idx="3">
                  <ns0:v>180</ns0:v>
                </ns0:pt>
              </ns0:numCache>
            </ns0:numRef>
          </ns0:val>
        </ns0:ser>
        <ns0:axId val="50100001"/>
        <ns0:axId val="50100002"/>
      </ns0:barChart>
      <ns0:catAx>
        <ns0:axId val="50100001"/>
        <ns0:scaling>
          <ns0:orientation val="minMax"/>
        </ns0:scaling>
        <ns0:axPos val="b"/>
        <ns0:tickLblPos val="nextTo"/>
        <ns0:crossAx val="50100002"/>
        <ns0:crosses val="autoZero"/>
        <ns0:auto val="1"/>
        <ns0:lblAlgn val="ctr"/>
        <ns0:lblOffset val="100"/>
      </ns0:catAx>
      <ns0:valAx>
        <ns0:axId val="50100002"/>
        <ns0:scaling>
          <ns0:orientation val="minMax"/>
        </ns0:scaling>
        <ns0:axPos val="l"/>
        <ns0:majorGridlines/>
        <ns0:numFmt formatCode="General" sourceLinked="1"/>
        <ns0:tickLblPos val="nextTo"/>
        <ns0:crossAx val="50100001"/>
        <ns0:crosses val="autoZero"/>
        <ns0:crossBetween val="between"/>
      </ns0:valAx>
    </ns0:plotArea>
    <ns0:legend>
      <ns0:legendPos val="b"/>
      <ns0:layout/>
    </ns0:legend>
    <ns0:plotVisOnly val="1"/>
  </ns0:chart>
  <ns0:printSettings>
    <ns0:headerFooter/>
    <ns0:pageMargins b="0.75" l="0.7" r="0.7" t="0.75" header="0.3" footer="0.3"/>
    <ns0:pageSetup/>
  </ns0:printSettings>
</ns0:chartSpace>
</file>

<file path=xl/charts/chart11.xml><?xml version="1.0" encoding="utf-8"?>
<ns0:chartSpace xmlns:ns0="http://schemas.openxmlformats.org/drawingml/2006/chart" xmlns:ns1="http://schemas.openxmlformats.org/drawingml/2006/main">
  <ns0:lang val="en-US"/>
  <ns0:chart>
    <ns0:title>
      <ns0:tx>
        <ns0:rich>
          <ns1:bodyPr/>
          <ns1:lstStyle/>
          <ns1:p>
            <ns1:pPr>
              <ns1:defRPr/>
            </ns1:pPr>
            <ns1:r>
              <ns1:rPr lang="en-US"/>
              <ns1:t>Доли маршрутов в затратах</ns1:t>
            </ns1:r>
          </ns1:p>
        </ns0:rich>
      </ns0:tx>
      <ns0:layout/>
    </ns0:title>
    <ns0:plotArea>
      <ns0:layout/>
      <ns0:pieChart>
        <ns0:varyColors val="1"/>
        <ns0:ser>
          <ns0:idx val="0"/>
          <ns0:order val="0"/>
          <ns0:tx>
            <ns0:v>Стоимость</ns0:v>
          </ns0:tx>
          <ns0:dLbls>
            <ns0:showPercent val="1"/>
          </ns0:dLbls>
          <ns0:cat>
            <ns0:strRef>
              <ns0:f>'16_В4_Доставка'!$A$2:$A$5</ns0:f>
              <ns0:strCache>
                <ns0:ptCount val="4"/>
                <ns0:pt idx="0">
                  <ns0:v>Склад → магазин А</ns0:v>
                </ns0:pt>
                <ns0:pt idx="1">
                  <ns0:v>Склад → магазин Б</ns0:v>
                </ns0:pt>
                <ns0:pt idx="2">
                  <ns0:v>Склад → фабрика</ns0:v>
                </ns0:pt>
                <ns0:pt idx="3">
                  <ns0:v>Склад → пункт выдачи</ns0:v>
                </ns0:pt>
              </ns0:strCache>
            </ns0:strRef>
          </ns0:cat>
          <ns0:val>
            <ns0:numRef>
              <ns0:f>'16_В4_Доставка'!$J$2:$J$5</ns0:f>
              <ns0:numCache>
                <ns0:formatCode>General</ns0:formatCode>
                <ns0:ptCount val="4"/>
                <ns0:pt idx="0">
                  <ns0:v>3700.0</ns0:v>
                </ns0:pt>
                <ns0:pt idx="1">
                  <ns0:v>4021.5</ns0:v>
                </ns0:pt>
                <ns0:pt idx="2">
                  <ns0:v>4752.0</ns0:v>
                </ns0:pt>
                <ns0:pt idx="3">
                  <ns0:v>3213.0</ns0:v>
                </ns0:pt>
              </ns0:numCache>
            </ns0:numRef>
          </ns0:val>
        </ns0:ser>
        <ns0:firstSliceAng val="0"/>
      </ns0:pieChart>
    </ns0:plotArea>
    <ns0:legend>
      <ns0:legendPos val="b"/>
      <ns0:layout/>
      <ns0:txPr>
        <ns1:bodyPr/>
        <ns1:lstStyle/>
        <ns1:p>
          <ns1:pPr rtl="0">
            <ns1:defRPr/>
          </ns1:pPr>
          <ns1:endParaRPr lang="en-US"/>
        </ns1:p>
      </ns0:txPr>
    </ns0:legend>
    <ns0:plotVisOnly val="1"/>
  </ns0:chart>
  <ns0:printSettings>
    <ns0:headerFooter/>
    <ns0:pageMargins b="0.75" l="0.7" r="0.7" t="0.75" header="0.3" footer="0.3"/>
    <ns0:pageSetup/>
  </ns0:printSettings>
</ns0:chartSpace>
</file>

<file path=xl/charts/chart12.xml><?xml version="1.0" encoding="utf-8"?>
<ns0:chartSpace xmlns:ns0="http://schemas.openxmlformats.org/drawingml/2006/chart" xmlns:ns1="http://schemas.openxmlformats.org/drawingml/2006/main">
  <ns0:lang val="en-US"/>
  <ns0:chart>
    <ns0:title>
      <ns0:tx>
        <ns0:rich>
          <ns1:bodyPr/>
          <ns1:lstStyle/>
          <ns1:p>
            <ns1:pPr>
              <ns1:defRPr/>
            </ns1:pPr>
            <ns1:r>
              <ns1:rPr lang="en-US"/>
              <ns1:t>Затраты и выручка, ₽</ns1:t>
            </ns1:r>
          </ns1:p>
        </ns0:rich>
      </ns0:tx>
      <ns0:layout/>
    </ns0:title>
    <ns0:plotArea>
      <ns0:layout/>
      <ns0:barChart>
        <ns0:barDir val="col"/>
        <ns0:grouping val="clustered"/>
        <ns0:ser>
          <ns0:idx val="0"/>
          <ns0:order val="0"/>
          <ns0:tx>
            <ns0:v>Затраты</ns0:v>
          </ns0:tx>
          <ns0:dLbls>
            <ns0:showVal val="1"/>
          </ns0:dLbls>
          <ns0:cat>
            <ns0:strRef>
              <ns0:f>'17_В5_Показатели_цеха'!$A$2:$A$5</ns0:f>
              <ns0:strCache>
                <ns0:ptCount val="4"/>
                <ns0:pt idx="0">
                  <ns0:v>Платья</ns0:v>
                </ns0:pt>
                <ns0:pt idx="1">
                  <ns0:v>Футболки</ns0:v>
                </ns0:pt>
                <ns0:pt idx="2">
                  <ns0:v>Джинсы</ns0:v>
                </ns0:pt>
                <ns0:pt idx="3">
                  <ns0:v>Юбки</ns0:v>
                </ns0:pt>
              </ns0:strCache>
            </ns0:strRef>
          </ns0:cat>
          <ns0:val>
            <ns0:numRef>
              <ns0:f>'17_В5_Показатели_цеха'!$F$2:$F$5</ns0:f>
              <ns0:numCache>
                <ns0:formatCode>General</ns0:formatCode>
                <ns0:ptCount val="4"/>
                <ns0:pt idx="0">
                  <ns0:v>235000</ns0:v>
                </ns0:pt>
                <ns0:pt idx="1">
                  <ns0:v>75000</ns0:v>
                </ns0:pt>
                <ns0:pt idx="2">
                  <ns0:v>368000</ns0:v>
                </ns0:pt>
                <ns0:pt idx="3">
                  <ns0:v>135000</ns0:v>
                </ns0:pt>
              </ns0:numCache>
            </ns0:numRef>
          </ns0:val>
        </ns0:ser>
        <ns0:ser>
          <ns0:idx val="1"/>
          <ns0:order val="1"/>
          <ns0:tx>
            <ns0:v>Выручка</ns0:v>
          </ns0:tx>
          <ns0:dLbls>
            <ns0:showVal val="1"/>
          </ns0:dLbls>
          <ns0:cat>
            <ns0:strRef>
              <ns0:f>'17_В5_Показатели_цеха'!$A$2:$A$5</ns0:f>
              <ns0:strCache>
                <ns0:ptCount val="4"/>
                <ns0:pt idx="0">
                  <ns0:v>Платья</ns0:v>
                </ns0:pt>
                <ns0:pt idx="1">
                  <ns0:v>Футболки</ns0:v>
                </ns0:pt>
                <ns0:pt idx="2">
                  <ns0:v>Джинсы</ns0:v>
                </ns0:pt>
                <ns0:pt idx="3">
                  <ns0:v>Юбки</ns0:v>
                </ns0:pt>
              </ns0:strCache>
            </ns0:strRef>
          </ns0:cat>
          <ns0:val>
            <ns0:numRef>
              <ns0:f>'17_В5_Показатели_цеха'!$G$2:$G$5</ns0:f>
              <ns0:numCache>
                <ns0:formatCode>General</ns0:formatCode>
                <ns0:ptCount val="4"/>
                <ns0:pt idx="0">
                  <ns0:v>690000</ns0:v>
                </ns0:pt>
                <ns0:pt idx="1">
                  <ns0:v>148500</ns0:v>
                </ns0:pt>
                <ns0:pt idx="2">
                  <ns0:v>771800</ns0:v>
                </ns0:pt>
                <ns0:pt idx="3">
                  <ns0:v>264600</ns0:v>
                </ns0:pt>
              </ns0:numCache>
            </ns0:numRef>
          </ns0:val>
        </ns0:ser>
        <ns0:axId val="50120001"/>
        <ns0:axId val="50120002"/>
      </ns0:barChart>
      <ns0:catAx>
        <ns0:axId val="50120001"/>
        <ns0:scaling>
          <ns0:orientation val="minMax"/>
        </ns0:scaling>
        <ns0:axPos val="b"/>
        <ns0:tickLblPos val="nextTo"/>
        <ns0:crossAx val="50120002"/>
        <ns0:crosses val="autoZero"/>
        <ns0:auto val="1"/>
        <ns0:lblAlgn val="ctr"/>
        <ns0:lblOffset val="100"/>
      </ns0:catAx>
      <ns0:valAx>
        <ns0:axId val="50120002"/>
        <ns0:scaling>
          <ns0:orientation val="minMax"/>
        </ns0:scaling>
        <ns0:axPos val="l"/>
        <ns0:majorGridlines/>
        <ns0:numFmt formatCode="General" sourceLinked="1"/>
        <ns0:tickLblPos val="nextTo"/>
        <ns0:crossAx val="50120001"/>
        <ns0:crosses val="autoZero"/>
        <ns0:crossBetween val="between"/>
      </ns0:valAx>
    </ns0:plotArea>
    <ns0:legend>
      <ns0:legendPos val="b"/>
      <ns0:layout/>
    </ns0:legend>
    <ns0:plotVisOnly val="1"/>
  </ns0:chart>
  <ns0:printSettings>
    <ns0:headerFooter/>
    <ns0:pageMargins b="0.75" l="0.7" r="0.7" t="0.75" header="0.3" footer="0.3"/>
    <ns0:pageSetup/>
  </ns0:printSettings>
</ns0:chartSpace>
</file>

<file path=xl/charts/chart13.xml><?xml version="1.0" encoding="utf-8"?>
<ns0:chartSpace xmlns:ns0="http://schemas.openxmlformats.org/drawingml/2006/chart" xmlns:ns1="http://schemas.openxmlformats.org/drawingml/2006/main">
  <ns0:lang val="en-US"/>
  <ns0:chart>
    <ns0:title>
      <ns0:tx>
        <ns0:rich>
          <ns1:bodyPr/>
          <ns1:lstStyle/>
          <ns1:p>
            <ns1:pPr>
              <ns1:defRPr/>
            </ns1:pPr>
            <ns1:r>
              <ns1:rPr lang="en-US"/>
              <ns1:t>Вклад изделий в прибыль</ns1:t>
            </ns1:r>
          </ns1:p>
        </ns0:rich>
      </ns0:tx>
      <ns0:layout/>
    </ns0:title>
    <ns0:plotArea>
      <ns0:layout/>
      <ns0:pieChart>
        <ns0:varyColors val="1"/>
        <ns0:ser>
          <ns0:idx val="0"/>
          <ns0:order val="0"/>
          <ns0:tx>
            <ns0:v>Прибыль</ns0:v>
          </ns0:tx>
          <ns0:dLbls>
            <ns0:showPercent val="1"/>
          </ns0:dLbls>
          <ns0:cat>
            <ns0:strRef>
              <ns0:f>'17_В5_Показатели_цеха'!$A$2:$A$5</ns0:f>
              <ns0:strCache>
                <ns0:ptCount val="4"/>
                <ns0:pt idx="0">
                  <ns0:v>Платья</ns0:v>
                </ns0:pt>
                <ns0:pt idx="1">
                  <ns0:v>Футболки</ns0:v>
                </ns0:pt>
                <ns0:pt idx="2">
                  <ns0:v>Джинсы</ns0:v>
                </ns0:pt>
                <ns0:pt idx="3">
                  <ns0:v>Юбки</ns0:v>
                </ns0:pt>
              </ns0:strCache>
            </ns0:strRef>
          </ns0:cat>
          <ns0:val>
            <ns0:numRef>
              <ns0:f>'17_В5_Показатели_цеха'!$H$2:$H$5</ns0:f>
              <ns0:numCache>
                <ns0:formatCode>General</ns0:formatCode>
                <ns0:ptCount val="4"/>
                <ns0:pt idx="0">
                  <ns0:v>455000</ns0:v>
                </ns0:pt>
                <ns0:pt idx="1">
                  <ns0:v>73500</ns0:v>
                </ns0:pt>
                <ns0:pt idx="2">
                  <ns0:v>403800</ns0:v>
                </ns0:pt>
                <ns0:pt idx="3">
                  <ns0:v>129600</ns0:v>
                </ns0:pt>
              </ns0:numCache>
            </ns0:numRef>
          </ns0:val>
        </ns0:ser>
        <ns0:firstSliceAng val="0"/>
      </ns0:pieChart>
    </ns0:plotArea>
    <ns0:legend>
      <ns0:legendPos val="b"/>
      <ns0:layout/>
      <ns0:txPr>
        <ns1:bodyPr/>
        <ns1:lstStyle/>
        <ns1:p>
          <ns1:pPr rtl="0">
            <ns1:defRPr/>
          </ns1:pPr>
          <ns1:endParaRPr lang="en-US"/>
        </ns1:p>
      </ns0:txPr>
    </ns0:legend>
    <ns0:plotVisOnly val="1"/>
  </ns0:chart>
  <ns0:printSettings>
    <ns0:headerFooter/>
    <ns0:pageMargins b="0.75" l="0.7" r="0.7" t="0.75" header="0.3" footer="0.3"/>
    <ns0:pageSetup/>
  </ns0:printSettings>
</ns0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5</xdr:col>
      <xdr:colOff>133350</xdr:colOff>
      <xdr:row>18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11</xdr:row>
      <xdr:rowOff>0</xdr:rowOff>
    </xdr:from>
    <xdr:to>
      <xdr:col>9</xdr:col>
      <xdr:colOff>647700</xdr:colOff>
      <xdr:row>18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4</xdr:col>
      <xdr:colOff>314325</xdr:colOff>
      <xdr:row>22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4</xdr:col>
      <xdr:colOff>314325</xdr:colOff>
      <xdr:row>22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15</xdr:row>
      <xdr:rowOff>0</xdr:rowOff>
    </xdr:from>
    <xdr:to>
      <xdr:col>9</xdr:col>
      <xdr:colOff>647700</xdr:colOff>
      <xdr:row>22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4</xdr:col>
      <xdr:colOff>314325</xdr:colOff>
      <xdr:row>22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15</xdr:row>
      <xdr:rowOff>0</xdr:rowOff>
    </xdr:from>
    <xdr:to>
      <xdr:col>9</xdr:col>
      <xdr:colOff>647700</xdr:colOff>
      <xdr:row>22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4</xdr:col>
      <xdr:colOff>314325</xdr:colOff>
      <xdr:row>21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14</xdr:row>
      <xdr:rowOff>0</xdr:rowOff>
    </xdr:from>
    <xdr:to>
      <xdr:col>9</xdr:col>
      <xdr:colOff>647700</xdr:colOff>
      <xdr:row>21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4</xdr:col>
      <xdr:colOff>314325</xdr:colOff>
      <xdr:row>22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15</xdr:row>
      <xdr:rowOff>0</xdr:rowOff>
    </xdr:from>
    <xdr:to>
      <xdr:col>9</xdr:col>
      <xdr:colOff>647700</xdr:colOff>
      <xdr:row>22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4</xdr:col>
      <xdr:colOff>314325</xdr:colOff>
      <xdr:row>26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9</xdr:col>
      <xdr:colOff>647700</xdr:colOff>
      <xdr:row>26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ns0:worksheet xmlns:ns0="http://schemas.openxmlformats.org/spreadsheetml/2006/main">
  <ns0:sheetPr>
    <ns0:pageSetUpPr fitToPage="1"/>
  </ns0:sheetPr>
  <ns0:dimension ref="A1:H27"/>
  <ns0:sheetViews>
    <ns0:sheetView showGridLines="1" tabSelected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31.7109375" customWidth="1"/>
    <ns0:col min="2" max="2" width="58.7109375" customWidth="1"/>
    <ns0:col min="3" max="14" width="19.7109375" customWidth="1"/>
  </ns0:cols>
  <ns0:sheetData>
    <ns0:row r="1" spans="1:8">
      <ns0:c r="A1" s="1" t="s">
        <ns0:v>0</ns0:v>
      </ns0:c>
      <ns0:c r="B1" s="1"/>
      <ns0:c r="C1" s="1"/>
      <ns0:c r="D1" s="1"/>
      <ns0:c r="E1" s="1"/>
      <ns0:c r="F1" s="1"/>
      <ns0:c r="G1" s="1"/>
      <ns0:c r="H1" s="1"/>
    </ns0:row>
    <ns0:row r="2" spans="1:8">
      <ns0:c r="A2" s="1"/>
      <ns0:c r="B2" s="1"/>
      <ns0:c r="C2" s="1"/>
      <ns0:c r="D2" s="1"/>
      <ns0:c r="E2" s="1"/>
      <ns0:c r="F2" s="1"/>
      <ns0:c r="G2" s="1"/>
      <ns0:c r="H2" s="1"/>
    </ns0:row>
    <ns0:row r="4" spans="1:8">
      <ns0:c r="A4" s="2" t="s">
        <ns0:v>1</ns0:v>
      </ns0:c>
      <ns0:c r="B4" s="2"/>
      <ns0:c r="C4" s="2"/>
      <ns0:c r="D4" s="2"/>
      <ns0:c r="E4" s="2"/>
      <ns0:c r="F4" s="2"/>
      <ns0:c r="G4" s="2"/>
      <ns0:c r="H4" s="2"/>
    </ns0:row>
    <ns0:row r="5" spans="1:8">
      <ns0:c r="A5" s="2"/>
      <ns0:c r="B5" s="2"/>
      <ns0:c r="C5" s="2"/>
      <ns0:c r="D5" s="2"/>
      <ns0:c r="E5" s="2"/>
      <ns0:c r="F5" s="2"/>
      <ns0:c r="G5" s="2"/>
      <ns0:c r="H5" s="2"/>
    </ns0:row>
    <ns0:row r="7" spans="1:8">
      <ns0:c r="A7" s="2" t="s">
        <ns0:v>2</ns0:v>
      </ns0:c>
      <ns0:c r="B7" s="2"/>
      <ns0:c r="C7" s="2"/>
      <ns0:c r="D7" s="2"/>
      <ns0:c r="E7" s="2"/>
      <ns0:c r="F7" s="2"/>
      <ns0:c r="G7" s="2"/>
      <ns0:c r="H7" s="2"/>
    </ns0:row>
    <ns0:row r="8" spans="1:8">
      <ns0:c r="A8" s="2"/>
      <ns0:c r="B8" s="2"/>
      <ns0:c r="C8" s="2"/>
      <ns0:c r="D8" s="2"/>
      <ns0:c r="E8" s="2"/>
      <ns0:c r="F8" s="2"/>
      <ns0:c r="G8" s="2"/>
      <ns0:c r="H8" s="2"/>
    </ns0:row>
    <ns0:row r="10" spans="1:8">
      <ns0:c r="A10" s="3" t="s">
        <ns0:v>174</ns0:v>
      </ns0:c>
      <ns0:c r="B10" s="3" t="s">
        <ns0:v>175</ns0:v>
      </ns0:c>
    </ns0:row>
    <ns0:row r="11" spans="1:8">
      <ns0:c r="A11" s="4" t="s">
        <ns0:v>176</ns0:v>
      </ns0:c>
      <ns0:c r="B11" s="5" t="s">
        <ns0:v>177</ns0:v>
      </ns0:c>
    </ns0:row>
    <ns0:row r="12" spans="1:8">
      <ns0:c r="A12" s="4" t="s">
        <ns0:v>178</ns0:v>
      </ns0:c>
      <ns0:c r="B12" s="5" t="s">
        <ns0:v>179</ns0:v>
      </ns0:c>
    </ns0:row>
    <ns0:row r="13" spans="1:8">
      <ns0:c r="A13" s="4" t="s">
        <ns0:v>180</ns0:v>
      </ns0:c>
      <ns0:c r="B13" s="5" t="s">
        <ns0:v>181</ns0:v>
      </ns0:c>
    </ns0:row>
    <ns0:row r="14" spans="1:8">
      <ns0:c r="A14" s="4" t="s">
        <ns0:v>182</ns0:v>
      </ns0:c>
      <ns0:c r="B14" s="5" t="s">
        <ns0:v>183</ns0:v>
      </ns0:c>
    </ns0:row>
    <ns0:row r="15" spans="1:8">
      <ns0:c r="A15" s="4" t="s">
        <ns0:v>184</ns0:v>
      </ns0:c>
      <ns0:c r="B15" s="5" t="s">
        <ns0:v>185</ns0:v>
      </ns0:c>
    </ns0:row>
    <ns0:row r="16" spans="1:8">
      <ns0:c r="A16" s="4" t="s">
        <ns0:v>186</ns0:v>
      </ns0:c>
      <ns0:c r="B16" s="5" t="s">
        <ns0:v>187</ns0:v>
      </ns0:c>
    </ns0:row>
    <ns0:row r="17" spans="1:2">
      <ns0:c r="A17" s="4" t="s">
        <ns0:v>188</ns0:v>
      </ns0:c>
      <ns0:c r="B17" s="5" t="s">
        <ns0:v>189</ns0:v>
      </ns0:c>
    </ns0:row>
    <ns0:row r="18" spans="1:2">
      <ns0:c r="A18" s="4" t="s">
        <ns0:v>190</ns0:v>
      </ns0:c>
      <ns0:c r="B18" s="5" t="s">
        <ns0:v>191</ns0:v>
      </ns0:c>
    </ns0:row>
    <ns0:row r="19" spans="1:2">
      <ns0:c r="A19" s="4" t="s">
        <ns0:v>192</ns0:v>
      </ns0:c>
      <ns0:c r="B19" s="5" t="s">
        <ns0:v>193</ns0:v>
      </ns0:c>
    </ns0:row>
    <ns0:row r="20" spans="1:2">
      <ns0:c r="A20" s="4" t="s">
        <ns0:v>194</ns0:v>
      </ns0:c>
      <ns0:c r="B20" s="5" t="s">
        <ns0:v>195</ns0:v>
      </ns0:c>
    </ns0:row>
    <ns0:row r="21" spans="1:2">
      <ns0:c r="A21" s="4" t="s">
        <ns0:v>196</ns0:v>
      </ns0:c>
      <ns0:c r="B21" s="5" t="s">
        <ns0:v>197</ns0:v>
      </ns0:c>
    </ns0:row>
    <ns0:row r="22" spans="1:2">
      <ns0:c r="A22" s="4" t="s">
        <ns0:v>198</ns0:v>
      </ns0:c>
      <ns0:c r="B22" s="5" t="s">
        <ns0:v>199</ns0:v>
      </ns0:c>
    </ns0:row>
    <ns0:row r="23" spans="1:2">
      <ns0:c r="A23" s="4" t="s">
        <ns0:v>200</ns0:v>
      </ns0:c>
      <ns0:c r="B23" s="5" t="s">
        <ns0:v>201</ns0:v>
      </ns0:c>
    </ns0:row>
    <ns0:row r="24" spans="1:2">
      <ns0:c r="A24" s="4" t="s">
        <ns0:v>202</ns0:v>
      </ns0:c>
      <ns0:c r="B24" s="5" t="s">
        <ns0:v>203</ns0:v>
      </ns0:c>
    </ns0:row>
    <ns0:row r="25" spans="1:2">
      <ns0:c r="A25" s="4" t="s">
        <ns0:v>204</ns0:v>
      </ns0:c>
      <ns0:c r="B25" s="5" t="s">
        <ns0:v>205</ns0:v>
      </ns0:c>
    </ns0:row>
    <ns0:row r="26" spans="1:2">
      <ns0:c r="A26" s="4" t="s">
        <ns0:v>206</ns0:v>
      </ns0:c>
      <ns0:c r="B26" s="5" t="s">
        <ns0:v>207</ns0:v>
      </ns0:c>
    </ns0:row>
    <ns0:row r="27" spans="1:2">
      <ns0:c r="A27" s="4" t="s">
        <ns0:v>208</ns0:v>
      </ns0:c>
      <ns0:c r="B27" s="5" t="s">
        <ns0:v>209</ns0:v>
      </ns0:c>
    </ns0:row>
  </ns0:sheetData>
  <ns0:mergeCells count="3">
    <ns0:mergeCell ref="A1:H2"/>
    <ns0:mergeCell ref="A4:H5"/>
    <ns0:mergeCell ref="A7:H8"/>
  </ns0:mergeCells>
  <ns0:hyperlinks>
    <ns0:hyperlink ref="A11" location="'01_ТекстильПром'!A1" display="01_ТекстильПром"/>
    <ns0:hyperlink ref="A12" location="'02_Сумма_среднее'!A1" display="02_Сумма_среднее"/>
    <ns0:hyperlink ref="A13" location="'03_Среднее_без_нулей'!A1" display="03_Среднее_без_нулей"/>
    <ns0:hyperlink ref="A14" location="'04_Скидка'!A1" display="04_Скидка"/>
    <ns0:hyperlink ref="A15" location="'05_Доступ'!A1" display="05_Доступ"/>
    <ns0:hyperlink ref="A16" location="'06_Срок_проекта'!A1" display="06_Срок_проекта"/>
    <ns0:hyperlink ref="A17" location="'07_Дедлайн'!A1" display="07_Дедлайн"/>
    <ns0:hyperlink ref="A18" location="'08_Продажи'!A1" display="08_Продажи"/>
    <ns0:hyperlink ref="A19" location="'09_Себестоимость'!A1" display="09_Себестоимость"/>
    <ns0:hyperlink ref="A20" location="'10_Качество'!A1" display="10_Качество"/>
    <ns0:hyperlink ref="A21" location="'11_Заказ_праздники'!A1" display="11_Заказ_праздники"/>
    <ns0:hyperlink ref="A22" location="'12_Партии_ткани'!A1" display="12_Партии_ткани"/>
    <ns0:hyperlink ref="A23" location="'13_В1_Рабочее_время'!A1" display="13_В1_Рабочее_время"/>
    <ns0:hyperlink ref="A24" location="'14_В2_Склад'!A1" display="14_В2_Склад"/>
    <ns0:hyperlink ref="A25" location="'15_В3_Производство'!A1" display="15_В3_Производство"/>
    <ns0:hyperlink ref="A26" location="'16_В4_Доставка'!A1" display="16_В4_Доставка"/>
    <ns0:hyperlink ref="A27" location="'17_В5_Показатели_цеха'!A1" display="17_В5_Показатели_цеха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pageSetUpPr fitToPage="1"/>
  </ns0:sheetPr>
  <ns0:dimension ref="A1:P10"/>
  <ns0:sheetViews>
    <ns0:sheetView showGridLines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6.7109375" customWidth="1"/>
    <ns0:col min="2" max="2" width="20.7109375" customWidth="1"/>
    <ns0:col min="3" max="14" width="19.7109375" customWidth="1"/>
  </ns0:cols>
  <ns0:sheetData>
    <ns0:row r="1" spans="1:16">
      <ns0:c r="A1" s="1" t="s">
        <ns0:v>3</ns0:v>
      </ns0:c>
      <ns0:c r="B1" s="1"/>
      <ns0:c r="C1" s="1"/>
      <ns0:c r="D1" s="1"/>
      <ns0:c r="E1" s="1"/>
      <ns0:c r="F1" s="1"/>
      <ns0:c r="G1" s="1"/>
      <ns0:c r="H1" s="1"/>
      <ns0:c r="I1" s="1"/>
      <ns0:c r="J1" s="1"/>
      <ns0:c r="P1" s="6" t="s">
        <ns0:v>210</ns0:v>
      </ns0:c>
    </ns0:row>
    <ns0:row r="2" spans="1:16">
      <ns0:c r="A2" s="3" t="s">
        <ns0:v>4</ns0:v>
      </ns0:c>
      <ns0:c r="B2" s="3" t="s">
        <ns0:v>5</ns0:v>
      </ns0:c>
      <ns0:c r="C2" s="3" t="s">
        <ns0:v>6</ns0:v>
      </ns0:c>
      <ns0:c r="D2" s="3" t="s">
        <ns0:v>7</ns0:v>
      </ns0:c>
      <ns0:c r="E2" s="3" t="s">
        <ns0:v>8</ns0:v>
      </ns0:c>
      <ns0:c r="F2" s="3" t="s">
        <ns0:v>9</ns0:v>
      </ns0:c>
      <ns0:c r="G2" s="3" t="s">
        <ns0:v>10</ns0:v>
      </ns0:c>
      <ns0:c r="H2" s="3" t="s">
        <ns0:v>11</ns0:v>
      </ns0:c>
      <ns0:c r="I2" s="3" t="s">
        <ns0:v>12</ns0:v>
      </ns0:c>
      <ns0:c r="J2" s="3" t="s">
        <ns0:v>13</ns0:v>
      </ns0:c>
    </ns0:row>
    <ns0:row r="3" spans="1:16">
      <ns0:c r="A3" s="4">
        <ns0:v>1</ns0:v>
      </ns0:c>
      <ns0:c r="B3" s="4" t="s">
        <ns0:v>14</ns0:v>
      </ns0:c>
      <ns0:c r="C3" s="4" t="s">
        <ns0:v>15</ns0:v>
      </ns0:c>
      <ns0:c r="D3" s="4">
        <ns0:v>500</ns0:v>
      </ns0:c>
      <ns0:c r="E3" s="4">
        <ns0:v>470</ns0:v>
      </ns0:c>
      <ns0:c r="F3" s="7">
        <ns0:f>E3*100/D3</ns0:f>
        <ns0:v>94.0</ns0:v>
      </ns0:c>
      <ns0:c r="G3" s="4">
        <ns0:v>500</ns0:v>
      </ns0:c>
      <ns0:c r="H3" s="4">
        <ns0:v>1500</ns0:v>
      </ns0:c>
      <ns0:c r="I3" s="8">
        <ns0:f>H3-G3</ns0:f>
        <ns0:v>1000</ns0:v>
      </ns0:c>
      <ns0:c r="J3" s="8">
        <ns0:f>I3*E3</ns0:f>
        <ns0:v>470000</ns0:v>
      </ns0:c>
    </ns0:row>
    <ns0:row r="4" spans="1:16">
      <ns0:c r="A4" s="4">
        <ns0:v>2</ns0:v>
      </ns0:c>
      <ns0:c r="B4" s="4" t="s">
        <ns0:v>16</ns0:v>
      </ns0:c>
      <ns0:c r="C4" s="4" t="s">
        <ns0:v>15</ns0:v>
      </ns0:c>
      <ns0:c r="D4" s="4">
        <ns0:v>300</ns0:v>
      </ns0:c>
      <ns0:c r="E4" s="4">
        <ns0:v>300</ns0:v>
      </ns0:c>
      <ns0:c r="F4" s="7">
        <ns0:f>E4*100/D4</ns0:f>
        <ns0:v>100.0</ns0:v>
      </ns0:c>
      <ns0:c r="G4" s="4">
        <ns0:v>250</ns0:v>
      </ns0:c>
      <ns0:c r="H4" s="4">
        <ns0:v>500</ns0:v>
      </ns0:c>
      <ns0:c r="I4" s="8">
        <ns0:f>H4-G4</ns0:f>
        <ns0:v>250</ns0:v>
      </ns0:c>
      <ns0:c r="J4" s="8">
        <ns0:f>I4*E4</ns0:f>
        <ns0:v>75000</ns0:v>
      </ns0:c>
    </ns0:row>
    <ns0:row r="5" spans="1:16">
      <ns0:c r="A5" s="4">
        <ns0:v>3</ns0:v>
      </ns0:c>
      <ns0:c r="B5" s="4" t="s">
        <ns0:v>17</ns0:v>
      </ns0:c>
      <ns0:c r="C5" s="4" t="s">
        <ns0:v>15</ns0:v>
      </ns0:c>
      <ns0:c r="D5" s="4">
        <ns0:v>400</ns0:v>
      </ns0:c>
      <ns0:c r="E5" s="4">
        <ns0:v>460</ns0:v>
      </ns0:c>
      <ns0:c r="F5" s="7">
        <ns0:f>E5*100/D5</ns0:f>
        <ns0:v>115.0</ns0:v>
      </ns0:c>
      <ns0:c r="G5" s="4">
        <ns0:v>800</ns0:v>
      </ns0:c>
      <ns0:c r="H5" s="4">
        <ns0:v>1700</ns0:v>
      </ns0:c>
      <ns0:c r="I5" s="8">
        <ns0:f>H5-G5</ns0:f>
        <ns0:v>900</ns0:v>
      </ns0:c>
      <ns0:c r="J5" s="8">
        <ns0:f>I5*E5</ns0:f>
        <ns0:v>414000</ns0:v>
      </ns0:c>
    </ns0:row>
    <ns0:row r="6" spans="1:16">
      <ns0:c r="A6" s="4">
        <ns0:v>4</ns0:v>
      </ns0:c>
      <ns0:c r="B6" s="4" t="s">
        <ns0:v>18</ns0:v>
      </ns0:c>
      <ns0:c r="C6" s="4" t="s">
        <ns0:v>15</ns0:v>
      </ns0:c>
      <ns0:c r="D6" s="4">
        <ns0:v>470</ns0:v>
      </ns0:c>
      <ns0:c r="E6" s="4">
        <ns0:v>450</ns0:v>
      </ns0:c>
      <ns0:c r="F6" s="7">
        <ns0:f>E6*100/D6</ns0:f>
        <ns0:v>95.74468085106383</ns0:v>
      </ns0:c>
      <ns0:c r="G6" s="4">
        <ns0:v>300</ns0:v>
      </ns0:c>
      <ns0:c r="H6" s="4">
        <ns0:v>600</ns0:v>
      </ns0:c>
      <ns0:c r="I6" s="8">
        <ns0:f>H6-G6</ns0:f>
        <ns0:v>300</ns0:v>
      </ns0:c>
      <ns0:c r="J6" s="8">
        <ns0:f>I6*E6</ns0:f>
        <ns0:v>135000</ns0:v>
      </ns0:c>
    </ns0:row>
    <ns0:row r="7" spans="1:16">
      <ns0:c r="A7" s="3"/>
      <ns0:c r="B7" s="3" t="s">
        <ns0:v>19</ns0:v>
      </ns0:c>
      <ns0:c r="D7" s="9">
        <ns0:f>SUM(D3:D6)</ns0:f>
        <ns0:v>1670</ns0:v>
      </ns0:c>
      <ns0:c r="E7" s="9">
        <ns0:f>SUM(E3:E6)</ns0:f>
        <ns0:v>1680</ns0:v>
      </ns0:c>
      <ns0:c r="F7" s="10">
        <ns0:f>E7*100/D7</ns0:f>
        <ns0:v>100.59880239520957</ns0:v>
      </ns0:c>
      <ns0:c r="J7" s="8">
        <ns0:f>SUM(J3:J6)</ns0:f>
        <ns0:v>1094000</ns0:v>
      </ns0:c>
    </ns0:row>
    <ns0:row r="9" spans="1:16">
      <ns0:c r="A9" s="2" t="s">
        <ns0:v>20</ns0:v>
      </ns0:c>
      <ns0:c r="B9" s="2"/>
      <ns0:c r="C9" s="2"/>
      <ns0:c r="D9" s="2"/>
      <ns0:c r="E9" s="2"/>
      <ns0:c r="F9" s="2"/>
      <ns0:c r="G9" s="2"/>
      <ns0:c r="H9" s="2"/>
      <ns0:c r="I9" s="2"/>
      <ns0:c r="J9" s="2"/>
    </ns0:row>
    <ns0:row r="10" spans="1:16">
      <ns0:c r="A10" s="2"/>
      <ns0:c r="B10" s="2"/>
      <ns0:c r="C10" s="2"/>
      <ns0:c r="D10" s="2"/>
      <ns0:c r="E10" s="2"/>
      <ns0:c r="F10" s="2"/>
      <ns0:c r="G10" s="2"/>
      <ns0:c r="H10" s="2"/>
      <ns0:c r="I10" s="2"/>
      <ns0:c r="J10" s="2"/>
    </ns0:row>
  </ns0:sheetData>
  <ns0:mergeCells count="2">
    <ns0:mergeCell ref="A1:J1"/>
    <ns0:mergeCell ref="A9:J10"/>
  </ns0:mergeCells>
  <ns0:hyperlinks>
    <ns0:hyperlink ref="P1" location="'00_Навигация'!A1" display="← Содержание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  <ns0:drawing ns1:id="rId1"/>
</ns0:worksheet>
</file>

<file path=xl/worksheets/sheet3.xml><?xml version="1.0" encoding="utf-8"?>
<ns0:worksheet xmlns:ns0="http://schemas.openxmlformats.org/spreadsheetml/2006/main">
  <ns0:sheetPr>
    <ns0:pageSetUpPr fitToPage="1"/>
  </ns0:sheetPr>
  <ns0:dimension ref="A1:P13"/>
  <ns0:sheetViews>
    <ns0:sheetView showGridLines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24.7109375" customWidth="1"/>
    <ns0:col min="2" max="14" width="19.7109375" customWidth="1"/>
  </ns0:cols>
  <ns0:sheetData>
    <ns0:row r="1" spans="1:16">
      <ns0:c r="A1" s="4">
        <ns0:v>10</ns0:v>
      </ns0:c>
      <ns0:c r="C1" s="5" t="s">
        <ns0:v>21</ns0:v>
      </ns0:c>
      <ns0:c r="P1" s="6" t="s">
        <ns0:v>210</ns0:v>
      </ns0:c>
    </ns0:row>
    <ns0:row r="2" spans="1:16">
      <ns0:c r="A2" s="4">
        <ns0:v>20</ns0:v>
      </ns0:c>
    </ns0:row>
    <ns0:row r="3" spans="1:16">
      <ns0:c r="A3" s="4">
        <ns0:v>30</ns0:v>
      </ns0:c>
      <ns0:c r="C3" s="5" t="s">
        <ns0:v>22</ns0:v>
      </ns0:c>
      <ns0:c r="D3" s="9">
        <ns0:f>SUM(A1:A10)</ns0:f>
        <ns0:v>550</ns0:v>
      </ns0:c>
    </ns0:row>
    <ns0:row r="4" spans="1:16">
      <ns0:c r="A4" s="4">
        <ns0:v>40</ns0:v>
      </ns0:c>
      <ns0:c r="C4" s="5" t="s">
        <ns0:v>23</ns0:v>
      </ns0:c>
      <ns0:c r="D4" s="9">
        <ns0:f>AVERAGE(A1:A10)</ns0:f>
        <ns0:v>55</ns0:v>
      </ns0:c>
    </ns0:row>
    <ns0:row r="5" spans="1:16">
      <ns0:c r="A5" s="4">
        <ns0:v>50</ns0:v>
      </ns0:c>
    </ns0:row>
    <ns0:row r="6" spans="1:16">
      <ns0:c r="A6" s="4">
        <ns0:v>60</ns0:v>
      </ns0:c>
    </ns0:row>
    <ns0:row r="7" spans="1:16">
      <ns0:c r="A7" s="4">
        <ns0:v>70</ns0:v>
      </ns0:c>
    </ns0:row>
    <ns0:row r="8" spans="1:16">
      <ns0:c r="A8" s="4">
        <ns0:v>80</ns0:v>
      </ns0:c>
    </ns0:row>
    <ns0:row r="9" spans="1:16">
      <ns0:c r="A9" s="4">
        <ns0:v>90</ns0:v>
      </ns0:c>
    </ns0:row>
    <ns0:row r="10" spans="1:16">
      <ns0:c r="A10" s="4">
        <ns0:v>100</ns0:v>
      </ns0:c>
    </ns0:row>
    <ns0:row r="12" spans="1:16">
      <ns0:c r="A12" s="2" t="s">
        <ns0:v>24</ns0:v>
      </ns0:c>
      <ns0:c r="B12" s="2"/>
      <ns0:c r="C12" s="2"/>
      <ns0:c r="D12" s="2"/>
      <ns0:c r="E12" s="2"/>
      <ns0:c r="F12" s="2"/>
      <ns0:c r="G12" s="2"/>
      <ns0:c r="H12" s="2"/>
    </ns0:row>
    <ns0:row r="13" spans="1:16">
      <ns0:c r="A13" s="2"/>
      <ns0:c r="B13" s="2"/>
      <ns0:c r="C13" s="2"/>
      <ns0:c r="D13" s="2"/>
      <ns0:c r="E13" s="2"/>
      <ns0:c r="F13" s="2"/>
      <ns0:c r="G13" s="2"/>
      <ns0:c r="H13" s="2"/>
    </ns0:row>
  </ns0:sheetData>
  <ns0:mergeCells count="1">
    <ns0:mergeCell ref="A12:H13"/>
  </ns0:mergeCells>
  <ns0:hyperlinks>
    <ns0:hyperlink ref="P1" location="'00_Навигация'!A1" display="← Содержание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</ns0:worksheet>
</file>

<file path=xl/worksheets/sheet4.xml><?xml version="1.0" encoding="utf-8"?>
<ns0:worksheet xmlns:ns0="http://schemas.openxmlformats.org/spreadsheetml/2006/main">
  <ns0:sheetPr>
    <ns0:pageSetUpPr fitToPage="1"/>
  </ns0:sheetPr>
  <ns0:dimension ref="A1:P13"/>
  <ns0:sheetViews>
    <ns0:sheetView showGridLines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24.7109375" customWidth="1"/>
    <ns0:col min="2" max="14" width="19.7109375" customWidth="1"/>
  </ns0:cols>
  <ns0:sheetData>
    <ns0:row r="1" spans="1:16">
      <ns0:c r="A1" s="5" t="s">
        <ns0:v>25</ns0:v>
      </ns0:c>
      <ns0:c r="B1" s="9">
        <ns0:f>AVERAGEIF(G1:G10,"&lt;&gt;0")</ns0:f>
        <ns0:v>40</ns0:v>
      </ns0:c>
      <ns0:c r="G1" s="4">
        <ns0:v>10</ns0:v>
      </ns0:c>
      <ns0:c r="P1" s="6" t="s">
        <ns0:v>210</ns0:v>
      </ns0:c>
    </ns0:row>
    <ns0:row r="2" spans="1:16">
      <ns0:c r="G2" s="4">
        <ns0:v>0</ns0:v>
      </ns0:c>
    </ns0:row>
    <ns0:row r="3" spans="1:16">
      <ns0:c r="G3" s="4">
        <ns0:v>20</ns0:v>
      </ns0:c>
    </ns0:row>
    <ns0:row r="4" spans="1:16">
      <ns0:c r="G4" s="4">
        <ns0:v>30</ns0:v>
      </ns0:c>
    </ns0:row>
    <ns0:row r="5" spans="1:16">
      <ns0:c r="G5" s="4">
        <ns0:v>0</ns0:v>
      </ns0:c>
    </ns0:row>
    <ns0:row r="6" spans="1:16">
      <ns0:c r="G6" s="4">
        <ns0:v>40</ns0:v>
      </ns0:c>
    </ns0:row>
    <ns0:row r="7" spans="1:16">
      <ns0:c r="G7" s="4">
        <ns0:v>50</ns0:v>
      </ns0:c>
    </ns0:row>
    <ns0:row r="8" spans="1:16">
      <ns0:c r="G8" s="4">
        <ns0:v>0</ns0:v>
      </ns0:c>
    </ns0:row>
    <ns0:row r="9" spans="1:16">
      <ns0:c r="G9" s="4">
        <ns0:v>60</ns0:v>
      </ns0:c>
    </ns0:row>
    <ns0:row r="10" spans="1:16">
      <ns0:c r="G10" s="4">
        <ns0:v>70</ns0:v>
      </ns0:c>
    </ns0:row>
    <ns0:row r="12" spans="1:16">
      <ns0:c r="A12" s="2" t="s">
        <ns0:v>26</ns0:v>
      </ns0:c>
      <ns0:c r="B12" s="2"/>
      <ns0:c r="C12" s="2"/>
      <ns0:c r="D12" s="2"/>
      <ns0:c r="E12" s="2"/>
      <ns0:c r="F12" s="2"/>
      <ns0:c r="G12" s="2"/>
      <ns0:c r="H12" s="2"/>
    </ns0:row>
    <ns0:row r="13" spans="1:16">
      <ns0:c r="A13" s="2"/>
      <ns0:c r="B13" s="2"/>
      <ns0:c r="C13" s="2"/>
      <ns0:c r="D13" s="2"/>
      <ns0:c r="E13" s="2"/>
      <ns0:c r="F13" s="2"/>
      <ns0:c r="G13" s="2"/>
      <ns0:c r="H13" s="2"/>
    </ns0:row>
  </ns0:sheetData>
  <ns0:mergeCells count="1">
    <ns0:mergeCell ref="A12:H13"/>
  </ns0:mergeCells>
  <ns0:hyperlinks>
    <ns0:hyperlink ref="P1" location="'00_Навигация'!A1" display="← Содержание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</ns0:worksheet>
</file>

<file path=xl/worksheets/sheet5.xml><?xml version="1.0" encoding="utf-8"?>
<ns0:worksheet xmlns:ns0="http://schemas.openxmlformats.org/spreadsheetml/2006/main">
  <ns0:sheetPr>
    <ns0:pageSetUpPr fitToPage="1"/>
  </ns0:sheetPr>
  <ns0:dimension ref="A1:P9"/>
  <ns0:sheetViews>
    <ns0:sheetView showGridLines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24.7109375" customWidth="1"/>
    <ns0:col min="2" max="14" width="19.7109375" customWidth="1"/>
  </ns0:cols>
  <ns0:sheetData>
    <ns0:row r="1" spans="1:16">
      <ns0:c r="A1" s="5" t="s">
        <ns0:v>27</ns0:v>
      </ns0:c>
      <ns0:c r="B1" s="4">
        <ns0:v>6000</ns0:v>
      </ns0:c>
      <ns0:c r="P1" s="6" t="s">
        <ns0:v>210</ns0:v>
      </ns0:c>
    </ns0:row>
    <ns0:row r="2" spans="1:16">
      <ns0:c r="A2" s="5" t="s">
        <ns0:v>28</ns0:v>
      </ns0:c>
      <ns0:c r="B2" s="8">
        <ns0:f>IF(B1&gt;5000,B1*0.9,B1*0.95)</ns0:f>
        <ns0:v>5400</ns0:v>
      </ns0:c>
    </ns0:row>
    <ns0:row r="5" spans="1:16">
      <ns0:c r="A5" s="3" t="s">
        <ns0:v>29</ns0:v>
      </ns0:c>
      <ns0:c r="B5" s="3" t="s">
        <ns0:v>28</ns0:v>
      </ns0:c>
      <ns0:c r="C5" s="3" t="s">
        <ns0:v>30</ns0:v>
      </ns0:c>
    </ns0:row>
    <ns0:row r="6" spans="1:16">
      <ns0:c r="A6" s="4">
        <ns0:v>4000</ns0:v>
      </ns0:c>
      <ns0:c r="B6" s="8">
        <ns0:f>IF(A6&gt;5000,A6*0.9,A6*0.95)</ns0:f>
        <ns0:v>3800.0</ns0:v>
      </ns0:c>
      <ns0:c r="C6" s="11">
        <ns0:f>IF(A6&gt;5000,10%,5%)</ns0:f>
        <ns0:v>0.05</ns0:v>
      </ns0:c>
    </ns0:row>
    <ns0:row r="7" spans="1:16">
      <ns0:c r="A7" s="4">
        <ns0:v>5000</ns0:v>
      </ns0:c>
      <ns0:c r="B7" s="8">
        <ns0:f>IF(A7&gt;5000,A7*0.9,A7*0.95)</ns0:f>
        <ns0:v>4750.0</ns0:v>
      </ns0:c>
      <ns0:c r="C7" s="11">
        <ns0:f>IF(A7&gt;5000,10%,5%)</ns0:f>
        <ns0:v>0.05</ns0:v>
      </ns0:c>
    </ns0:row>
    <ns0:row r="8" spans="1:16">
      <ns0:c r="A8" s="4">
        <ns0:v>5001</ns0:v>
      </ns0:c>
      <ns0:c r="B8" s="8">
        <ns0:f>IF(A8&gt;5000,A8*0.9,A8*0.95)</ns0:f>
        <ns0:v>4500.900000000001</ns0:v>
      </ns0:c>
      <ns0:c r="C8" s="11">
        <ns0:f>IF(A8&gt;5000,10%,5%)</ns0:f>
        <ns0:v>0.1</ns0:v>
      </ns0:c>
    </ns0:row>
    <ns0:row r="9" spans="1:16">
      <ns0:c r="A9" s="4">
        <ns0:v>6000</ns0:v>
      </ns0:c>
      <ns0:c r="B9" s="8">
        <ns0:f>IF(A9&gt;5000,A9*0.9,A9*0.95)</ns0:f>
        <ns0:v>5400.0</ns0:v>
      </ns0:c>
      <ns0:c r="C9" s="11">
        <ns0:f>IF(A9&gt;5000,10%,5%)</ns0:f>
        <ns0:v>0.1</ns0:v>
      </ns0:c>
    </ns0:row>
  </ns0:sheetData>
  <ns0:hyperlinks>
    <ns0:hyperlink ref="P1" location="'00_Навигация'!A1" display="← Содержание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</ns0:worksheet>
</file>

<file path=xl/worksheets/sheet6.xml><?xml version="1.0" encoding="utf-8"?>
<ns0:worksheet xmlns:ns0="http://schemas.openxmlformats.org/spreadsheetml/2006/main">
  <ns0:sheetPr>
    <ns0:pageSetUpPr fitToPage="1"/>
  </ns0:sheetPr>
  <ns0:dimension ref="A1:P10"/>
  <ns0:sheetViews>
    <ns0:sheetView showGridLines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24.7109375" customWidth="1"/>
    <ns0:col min="2" max="2" width="19.7109375" customWidth="1"/>
    <ns0:col min="3" max="3" width="27.7109375" customWidth="1"/>
    <ns0:col min="4" max="14" width="19.7109375" customWidth="1"/>
  </ns0:cols>
  <ns0:sheetData>
    <ns0:row r="1" spans="1:16">
      <ns0:c r="A1" s="5" t="s">
        <ns0:v>31</ns0:v>
      </ns0:c>
      <ns0:c r="C1" s="4">
        <ns0:v>18</ns0:v>
      </ns0:c>
      <ns0:c r="P1" s="6" t="s">
        <ns0:v>210</ns0:v>
      </ns0:c>
    </ns0:row>
    <ns0:row r="2" spans="1:16">
      <ns0:c r="A2" s="5" t="s">
        <ns0:v>32</ns0:v>
      </ns0:c>
      <ns0:c r="C2" s="4" t="s">
        <ns0:v>33</ns0:v>
      </ns0:c>
    </ns0:row>
    <ns0:row r="3" spans="1:16">
      <ns0:c r="A3" s="5" t="s">
        <ns0:v>34</ns0:v>
      </ns0:c>
      <ns0:c r="C3" s="9" t="str">
        <ns0:f>IF(AND(C1&gt;=18,C2="Да"),"Доступ разрешен","Отказано")</ns0:f>
        <ns0:v>Доступ разрешен</ns0:v>
      </ns0:c>
    </ns0:row>
    <ns0:row r="6" spans="1:16">
      <ns0:c r="A6" s="3" t="s">
        <ns0:v>31</ns0:v>
      </ns0:c>
      <ns0:c r="B6" s="3" t="s">
        <ns0:v>32</ns0:v>
      </ns0:c>
      <ns0:c r="C6" s="3" t="s">
        <ns0:v>34</ns0:v>
      </ns0:c>
    </ns0:row>
    <ns0:row r="7" spans="1:16">
      <ns0:c r="A7" s="4">
        <ns0:v>17</ns0:v>
      </ns0:c>
      <ns0:c r="B7" s="4" t="s">
        <ns0:v>33</ns0:v>
      </ns0:c>
      <ns0:c r="C7" s="9" t="str">
        <ns0:f>IF(AND(A7&gt;=18,B7="Да"),"Доступ разрешен","Отказано")</ns0:f>
        <ns0:v>Отказано</ns0:v>
      </ns0:c>
    </ns0:row>
    <ns0:row r="8" spans="1:16">
      <ns0:c r="A8" s="4">
        <ns0:v>18</ns0:v>
      </ns0:c>
      <ns0:c r="B8" s="4" t="s">
        <ns0:v>33</ns0:v>
      </ns0:c>
      <ns0:c r="C8" s="9" t="str">
        <ns0:f>IF(AND(A8&gt;=18,B8="Да"),"Доступ разрешен","Отказано")</ns0:f>
        <ns0:v>Доступ разрешен</ns0:v>
      </ns0:c>
    </ns0:row>
    <ns0:row r="9" spans="1:16">
      <ns0:c r="A9" s="4">
        <ns0:v>18</ns0:v>
      </ns0:c>
      <ns0:c r="B9" s="4" t="s">
        <ns0:v>35</ns0:v>
      </ns0:c>
      <ns0:c r="C9" s="9" t="str">
        <ns0:f>IF(AND(A9&gt;=18,B9="Да"),"Доступ разрешен","Отказано")</ns0:f>
        <ns0:v>Отказано</ns0:v>
      </ns0:c>
    </ns0:row>
    <ns0:row r="10" spans="1:16">
      <ns0:c r="A10" s="4">
        <ns0:v>25</ns0:v>
      </ns0:c>
      <ns0:c r="B10" s="4" t="s">
        <ns0:v>35</ns0:v>
      </ns0:c>
      <ns0:c r="C10" s="9" t="str">
        <ns0:f>IF(AND(A10&gt;=18,B10="Да"),"Доступ разрешен","Отказано")</ns0:f>
        <ns0:v>Отказано</ns0:v>
      </ns0:c>
    </ns0:row>
  </ns0:sheetData>
  <ns0:dataValidations count="1">
    <ns0:dataValidation type="list" allowBlank="1" showInputMessage="1" showErrorMessage="1" sqref="C2">
      <ns0:formula1>"Да,Нет"</ns0:formula1>
    </ns0:dataValidation>
  </ns0:dataValidations>
  <ns0:hyperlinks>
    <ns0:hyperlink ref="P1" location="'00_Навигация'!A1" display="← Содержание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</ns0:worksheet>
</file>

<file path=xl/worksheets/sheet7.xml><?xml version="1.0" encoding="utf-8"?>
<ns0:worksheet xmlns:ns0="http://schemas.openxmlformats.org/spreadsheetml/2006/main">
  <ns0:sheetPr>
    <ns0:pageSetUpPr fitToPage="1"/>
  </ns0:sheetPr>
  <ns0:dimension ref="A1:P6"/>
  <ns0:sheetViews>
    <ns0:sheetView showGridLines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24.7109375" customWidth="1"/>
    <ns0:col min="2" max="3" width="19.7109375" customWidth="1"/>
    <ns0:col min="4" max="4" width="25.7109375" customWidth="1"/>
    <ns0:col min="5" max="14" width="19.7109375" customWidth="1"/>
  </ns0:cols>
  <ns0:sheetData>
    <ns0:row r="1" spans="1:16">
      <ns0:c r="A1" s="12">
        <ns0:v>45566</ns0:v>
      </ns0:c>
      <ns0:c r="B1" s="4">
        <ns0:v>10</ns0:v>
      </ns0:c>
      <ns0:c r="C1" s="13">
        <ns0:f>WORKDAY(A1,B1)</ns0:f>
        <ns0:v>45580</ns0:v>
      </ns0:c>
      <ns0:c r="D1" s="9" t="str">
        <ns0:f>CHOOSE(WEEKDAY(C1,2),"понедельник","вторник","среда","четверг","пятница","суббота","воскресенье")</ns0:f>
        <ns0:v>вторник</ns0:v>
      </ns0:c>
      <ns0:c r="P1" s="6" t="s">
        <ns0:v>210</ns0:v>
      </ns0:c>
    </ns0:row>
    <ns0:row r="3" spans="1:16">
      <ns0:c r="A3" s="3" t="s">
        <ns0:v>36</ns0:v>
      </ns0:c>
      <ns0:c r="B3" s="3" t="s">
        <ns0:v>37</ns0:v>
      </ns0:c>
      <ns0:c r="C3" s="3" t="s">
        <ns0:v>38</ns0:v>
      </ns0:c>
      <ns0:c r="D3" s="3" t="s">
        <ns0:v>39</ns0:v>
      </ns0:c>
    </ns0:row>
    <ns0:row r="5" spans="1:16">
      <ns0:c r="A5" s="2" t="s">
        <ns0:v>40</ns0:v>
      </ns0:c>
      <ns0:c r="B5" s="2"/>
      <ns0:c r="C5" s="2"/>
      <ns0:c r="D5" s="2"/>
      <ns0:c r="E5" s="2"/>
      <ns0:c r="F5" s="2"/>
      <ns0:c r="G5" s="2"/>
      <ns0:c r="H5" s="2"/>
    </ns0:row>
    <ns0:row r="6" spans="1:16">
      <ns0:c r="A6" s="2"/>
      <ns0:c r="B6" s="2"/>
      <ns0:c r="C6" s="2"/>
      <ns0:c r="D6" s="2"/>
      <ns0:c r="E6" s="2"/>
      <ns0:c r="F6" s="2"/>
      <ns0:c r="G6" s="2"/>
      <ns0:c r="H6" s="2"/>
    </ns0:row>
  </ns0:sheetData>
  <ns0:mergeCells count="1">
    <ns0:mergeCell ref="A5:H6"/>
  </ns0:mergeCells>
  <ns0:hyperlinks>
    <ns0:hyperlink ref="P1" location="'00_Навигация'!A1" display="← Содержание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</ns0:worksheet>
</file>

<file path=xl/worksheets/sheet8.xml><?xml version="1.0" encoding="utf-8"?>
<ns0:worksheet xmlns:ns0="http://schemas.openxmlformats.org/spreadsheetml/2006/main">
  <ns0:sheetPr>
    <ns0:pageSetUpPr fitToPage="1"/>
  </ns0:sheetPr>
  <ns0:dimension ref="A1:P10"/>
  <ns0:sheetViews>
    <ns0:sheetView showGridLines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24.7109375" customWidth="1"/>
    <ns0:col min="2" max="3" width="19.7109375" customWidth="1"/>
    <ns0:col min="4" max="4" width="25.7109375" customWidth="1"/>
    <ns0:col min="5" max="14" width="19.7109375" customWidth="1"/>
  </ns0:cols>
  <ns0:sheetData>
    <ns0:row r="1" spans="1:16">
      <ns0:c r="A1" s="12">
        <ns0:v>45566</ns0:v>
      </ns0:c>
      <ns0:c r="B1" s="4">
        <ns0:v>10</ns0:v>
      </ns0:c>
      <ns0:c r="C1" s="13">
        <ns0:f>WORKDAY(A1,B1)</ns0:f>
        <ns0:v>45580</ns0:v>
      </ns0:c>
      <ns0:c r="D1" s="9" t="str">
        <ns0:f>CHOOSE(WEEKDAY(C1,2),"понедельник","вторник","среда","четверг","пятница","суббота","воскресенье")</ns0:f>
        <ns0:v>вторник</ns0:v>
      </ns0:c>
      <ns0:c r="E1" s="9">
        <ns0:f>IF(WEEKDAY(C1,2)=5,"Пятница!","")</ns0:f>
        <ns0:v/>
      </ns0:c>
      <ns0:c r="P1" s="6" t="s">
        <ns0:v>210</ns0:v>
      </ns0:c>
    </ns0:row>
    <ns0:row r="3" spans="1:16">
      <ns0:c r="A3" s="3" t="s">
        <ns0:v>36</ns0:v>
      </ns0:c>
      <ns0:c r="B3" s="3" t="s">
        <ns0:v>37</ns0:v>
      </ns0:c>
      <ns0:c r="C3" s="3" t="s">
        <ns0:v>38</ns0:v>
      </ns0:c>
      <ns0:c r="D3" s="3" t="s">
        <ns0:v>39</ns0:v>
      </ns0:c>
    </ns0:row>
    <ns0:row r="5" spans="1:16">
      <ns0:c r="A5" s="2" t="s">
        <ns0:v>40</ns0:v>
      </ns0:c>
      <ns0:c r="B5" s="2"/>
      <ns0:c r="C5" s="2"/>
      <ns0:c r="D5" s="2"/>
      <ns0:c r="E5" s="2"/>
      <ns0:c r="F5" s="2"/>
      <ns0:c r="G5" s="2"/>
      <ns0:c r="H5" s="2"/>
    </ns0:row>
    <ns0:row r="6" spans="1:16">
      <ns0:c r="A6" s="2"/>
      <ns0:c r="B6" s="2"/>
      <ns0:c r="C6" s="2"/>
      <ns0:c r="D6" s="2"/>
      <ns0:c r="E6" s="2"/>
      <ns0:c r="F6" s="2"/>
      <ns0:c r="G6" s="2"/>
      <ns0:c r="H6" s="2"/>
    </ns0:row>
    <ns0:row r="9" spans="1:16">
      <ns0:c r="A9" s="3" t="s">
        <ns0:v>41</ns0:v>
      </ns0:c>
      <ns0:c r="B9" s="3" t="s">
        <ns0:v>42</ns0:v>
      </ns0:c>
      <ns0:c r="C9" s="3" t="s">
        <ns0:v>43</ns0:v>
      </ns0:c>
      <ns0:c r="D9" s="3" t="s">
        <ns0:v>44</ns0:v>
      </ns0:c>
    </ns0:row>
    <ns0:row r="10" spans="1:16">
      <ns0:c r="A10" s="12">
        <ns0:v>45566</ns0:v>
      </ns0:c>
      <ns0:c r="B10" s="4">
        <ns0:v>8</ns0:v>
      </ns0:c>
      <ns0:c r="C10" s="13">
        <ns0:f>WORKDAY(A10,B10)</ns0:f>
        <ns0:v>45576</ns0:v>
      </ns0:c>
      <ns0:c r="D10" s="9" t="str">
        <ns0:f>IF(WEEKDAY(C10,2)=5,"Пятница!","")</ns0:f>
        <ns0:v>Пятница!</ns0:v>
      </ns0:c>
    </ns0:row>
  </ns0:sheetData>
  <ns0:mergeCells count="1">
    <ns0:mergeCell ref="A5:H6"/>
  </ns0:mergeCells>
  <ns0:hyperlinks>
    <ns0:hyperlink ref="P1" location="'00_Навигация'!A1" display="← Содержание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</ns0:worksheet>
</file>

<file path=xl/worksheets/sheet9.xml><?xml version="1.0" encoding="utf-8"?>
<ns0:worksheet xmlns:ns0="http://schemas.openxmlformats.org/spreadsheetml/2006/main" xmlns:ns1="http://schemas.openxmlformats.org/officeDocument/2006/relationships">
  <ns0:sheetPr>
    <ns0:pageSetUpPr fitToPage="1"/>
  </ns0:sheetPr>
  <ns0:dimension ref="A1:P13"/>
  <ns0:sheetViews>
    <ns0:sheetView showGridLines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24.7109375" customWidth="1"/>
    <ns0:col min="2" max="14" width="19.7109375" customWidth="1"/>
  </ns0:cols>
  <ns0:sheetData>
    <ns0:row r="1" spans="1:16">
      <ns0:c r="A1" s="3" t="s">
        <ns0:v>45</ns0:v>
      </ns0:c>
      <ns0:c r="B1" s="3" t="s">
        <ns0:v>46</ns0:v>
      </ns0:c>
      <ns0:c r="P1" s="6" t="s">
        <ns0:v>210</ns0:v>
      </ns0:c>
    </ns0:row>
    <ns0:row r="2" spans="1:16">
      <ns0:c r="A2" s="4" t="s">
        <ns0:v>47</ns0:v>
      </ns0:c>
      <ns0:c r="B2" s="4">
        <ns0:v>120</ns0:v>
      </ns0:c>
      <ns0:c r="D2" s="5" t="s">
        <ns0:v>59</ns0:v>
      </ns0:c>
      <ns0:c r="E2" s="10">
        <ns0:f>AVERAGE(B2:B13)</ns0:f>
        <ns0:v>176.25</ns0:v>
      </ns0:c>
    </ns0:row>
    <ns0:row r="3" spans="1:16">
      <ns0:c r="A3" s="4" t="s">
        <ns0:v>48</ns0:v>
      </ns0:c>
      <ns0:c r="B3" s="4">
        <ns0:v>150</ns0:v>
      </ns0:c>
    </ns0:row>
    <ns0:row r="4" spans="1:16">
      <ns0:c r="A4" s="4" t="s">
        <ns0:v>49</ns0:v>
      </ns0:c>
      <ns0:c r="B4" s="4">
        <ns0:v>90</ns0:v>
      </ns0:c>
      <ns0:c r="D4" s="5" t="s">
        <ns0:v>60</ns0:v>
      </ns0:c>
      <ns0:c r="E4" s="9" t="str">
        <ns0:f>INDEX(A2:A13,MATCH(MAX(B2:B13),B2:B13,0))</ns0:f>
        <ns0:v>Декабрь</ns0:v>
      </ns0:c>
    </ns0:row>
    <ns0:row r="5" spans="1:16">
      <ns0:c r="A5" s="4" t="s">
        <ns0:v>50</ns0:v>
      </ns0:c>
      <ns0:c r="B5" s="4">
        <ns0:v>200</ns0:v>
      </ns0:c>
    </ns0:row>
    <ns0:row r="6" spans="1:16">
      <ns0:c r="A6" s="4" t="s">
        <ns0:v>51</ns0:v>
      </ns0:c>
      <ns0:c r="B6" s="4">
        <ns0:v>180</ns0:v>
      </ns0:c>
      <ns0:c r="D6" s="5" t="s">
        <ns0:v>61</ns0:v>
      </ns0:c>
      <ns0:c r="E6" s="9">
        <ns0:f>COUNTIF(B2:B13,"&gt;"&amp;AVERAGE(B2:B13))</ns0:f>
        <ns0:v>6</ns0:v>
      </ns0:c>
    </ns0:row>
    <ns0:row r="7" spans="1:16">
      <ns0:c r="A7" s="4" t="s">
        <ns0:v>52</ns0:v>
      </ns0:c>
      <ns0:c r="B7" s="4">
        <ns0:v>210</ns0:v>
      </ns0:c>
    </ns0:row>
    <ns0:row r="8" spans="1:16">
      <ns0:c r="A8" s="4" t="s">
        <ns0:v>53</ns0:v>
      </ns0:c>
      <ns0:c r="B8" s="4">
        <ns0:v>95</ns0:v>
      </ns0:c>
      <ns0:c r="D8" s="5" t="s">
        <ns0:v>62</ns0:v>
      </ns0:c>
      <ns0:c r="E8" s="9">
        <ns0:f>SUM(B2:B13)</ns0:f>
        <ns0:v>2115</ns0:v>
      </ns0:c>
    </ns0:row>
    <ns0:row r="9" spans="1:16">
      <ns0:c r="A9" s="4" t="s">
        <ns0:v>54</ns0:v>
      </ns0:c>
      <ns0:c r="B9" s="4">
        <ns0:v>130</ns0:v>
      </ns0:c>
    </ns0:row>
    <ns0:row r="10" spans="1:16">
      <ns0:c r="A10" s="4" t="s">
        <ns0:v>55</ns0:v>
      </ns0:c>
      <ns0:c r="B10" s="4">
        <ns0:v>170</ns0:v>
      </ns0:c>
    </ns0:row>
    <ns0:row r="11" spans="1:16">
      <ns0:c r="A11" s="4" t="s">
        <ns0:v>56</ns0:v>
      </ns0:c>
      <ns0:c r="B11" s="4">
        <ns0:v>220</ns0:v>
      </ns0:c>
    </ns0:row>
    <ns0:row r="12" spans="1:16">
      <ns0:c r="A12" s="4" t="s">
        <ns0:v>57</ns0:v>
      </ns0:c>
      <ns0:c r="B12" s="4">
        <ns0:v>250</ns0:v>
      </ns0:c>
    </ns0:row>
    <ns0:row r="13" spans="1:16">
      <ns0:c r="A13" s="4" t="s">
        <ns0:v>58</ns0:v>
      </ns0:c>
      <ns0:c r="B13" s="4">
        <ns0:v>300</ns0:v>
      </ns0:c>
    </ns0:row>
  </ns0:sheetData>
  <ns0:hyperlinks>
    <ns0:hyperlink ref="P1" location="'00_Навигация'!A1" display="← Содержание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  <ns0:drawing ns1:id="rId1"/>
</ns0:worksheet>
</file>

<file path=xl/worksheets/sheet10.xml><?xml version="1.0" encoding="utf-8"?>
<ns0:worksheet xmlns:ns0="http://schemas.openxmlformats.org/spreadsheetml/2006/main">
  <ns0:sheetPr>
    <ns0:pageSetUpPr fitToPage="1"/>
  </ns0:sheetPr>
  <ns0:dimension ref="A1:P9"/>
  <ns0:sheetViews>
    <ns0:sheetView showGridLines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24.7109375" customWidth="1"/>
    <ns0:col min="2" max="14" width="19.7109375" customWidth="1"/>
  </ns0:cols>
  <ns0:sheetData>
    <ns0:row r="1" spans="1:16">
      <ns0:c r="A1" s="3" t="s">
        <ns0:v>63</ns0:v>
      </ns0:c>
      <ns0:c r="B1" s="3" t="s">
        <ns0:v>64</ns0:v>
      </ns0:c>
      <ns0:c r="P1" s="6" t="s">
        <ns0:v>210</ns0:v>
      </ns0:c>
    </ns0:row>
    <ns0:row r="2" spans="1:16">
      <ns0:c r="A2" s="4" t="s">
        <ns0:v>65</ns0:v>
      </ns0:c>
      <ns0:c r="B2" s="4">
        <ns0:v>3.5</ns0:v>
      </ns0:c>
    </ns0:row>
    <ns0:row r="3" spans="1:16">
      <ns0:c r="A3" s="4" t="s">
        <ns0:v>66</ns0:v>
      </ns0:c>
      <ns0:c r="B3" s="4">
        <ns0:v>1200</ns0:v>
      </ns0:c>
    </ns0:row>
    <ns0:row r="4" spans="1:16">
      <ns0:c r="A4" s="4" t="s">
        <ns0:v>67</ns0:v>
      </ns0:c>
      <ns0:c r="B4" s="4">
        <ns0:v>250</ns0:v>
      </ns0:c>
    </ns0:row>
    <ns0:row r="5" spans="1:16">
      <ns0:c r="A5" s="4" t="s">
        <ns0:v>68</ns0:v>
      </ns0:c>
      <ns0:c r="B5" s="14">
        <ns0:v>0.2</ns0:v>
      </ns0:c>
    </ns0:row>
    <ns0:row r="7" spans="1:16">
      <ns0:c r="A7" s="5" t="s">
        <ns0:v>69</ns0:v>
      </ns0:c>
      <ns0:c r="B7" s="8">
        <ns0:f>B2*B3*B4</ns0:f>
        <ns0:v>1050000</ns0:v>
      </ns0:c>
    </ns0:row>
    <ns0:row r="8" spans="1:16">
      <ns0:c r="A8" s="5" t="s">
        <ns0:v>70</ns0:v>
      </ns0:c>
      <ns0:c r="B8" s="8">
        <ns0:f>B7*B5</ns0:f>
        <ns0:v>210000</ns0:v>
      </ns0:c>
    </ns0:row>
    <ns0:row r="9" spans="1:16">
      <ns0:c r="A9" s="5" t="s">
        <ns0:v>71</ns0:v>
      </ns0:c>
      <ns0:c r="B9" s="8">
        <ns0:f>ROUND(B2*B3*B4*(1+$B$5),2)</ns0:f>
        <ns0:v>1260000</ns0:v>
      </ns0:c>
    </ns0:row>
  </ns0:sheetData>
  <ns0:hyperlinks>
    <ns0:hyperlink ref="P1" location="'00_Навигация'!A1" display="← Содержание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</ns0:worksheet>
</file>

<file path=xl/worksheets/sheet11.xml><?xml version="1.0" encoding="utf-8"?>
<ns0:worksheet xmlns:ns0="http://schemas.openxmlformats.org/spreadsheetml/2006/main">
  <ns0:sheetPr>
    <ns0:pageSetUpPr fitToPage="1"/>
  </ns0:sheetPr>
  <ns0:dimension ref="A1:P10"/>
  <ns0:sheetViews>
    <ns0:sheetView showGridLines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24.7109375" customWidth="1"/>
    <ns0:col min="2" max="14" width="19.7109375" customWidth="1"/>
  </ns0:cols>
  <ns0:sheetData>
    <ns0:row r="1" spans="1:16">
      <ns0:c r="A1" s="3" t="s">
        <ns0:v>72</ns0:v>
      </ns0:c>
      <ns0:c r="B1" s="3" t="s">
        <ns0:v>73</ns0:v>
      </ns0:c>
      <ns0:c r="C1" s="3" t="s">
        <ns0:v>74</ns0:v>
      </ns0:c>
      <ns0:c r="D1" s="3" t="s">
        <ns0:v>34</ns0:v>
      </ns0:c>
      <ns0:c r="P1" s="6" t="s">
        <ns0:v>210</ns0:v>
      </ns0:c>
    </ns0:row>
    <ns0:row r="2" spans="1:16">
      <ns0:c r="A2" s="4">
        <ns0:v>55</ns0:v>
      </ns0:c>
      <ns0:c r="B2" s="4">
        <ns0:v>4</ns0:v>
      </ns0:c>
      <ns0:c r="C2" s="4" t="s">
        <ns0:v>75</ns0:v>
      </ns0:c>
      <ns0:c r="D2" s="9" t="str">
        <ns0:f>IF(AND(A2&gt;=50,OR(B2&lt;=5,C2="Массмаркет")),"Годна","Брак")</ns0:f>
        <ns0:v>Годна</ns0:v>
      </ns0:c>
    </ns0:row>
    <ns0:row r="3" spans="1:16">
      <ns0:c r="A3" s="4">
        <ns0:v>48</ns0:v>
      </ns0:c>
      <ns0:c r="B3" s="4">
        <ns0:v>3</ns0:v>
      </ns0:c>
      <ns0:c r="C3" s="4" t="s">
        <ns0:v>76</ns0:v>
      </ns0:c>
      <ns0:c r="D3" s="9" t="str">
        <ns0:f>IF(AND(A3&gt;=50,OR(B3&lt;=5,C3="Массмаркет")),"Годна","Брак")</ns0:f>
        <ns0:v>Брак</ns0:v>
      </ns0:c>
    </ns0:row>
    <ns0:row r="4" spans="1:16">
      <ns0:c r="A4" s="4">
        <ns0:v>50</ns0:v>
      </ns0:c>
      <ns0:c r="B4" s="4">
        <ns0:v>5</ns0:v>
      </ns0:c>
      <ns0:c r="C4" s="4" t="s">
        <ns0:v>75</ns0:v>
      </ns0:c>
      <ns0:c r="D4" s="9" t="str">
        <ns0:f>IF(AND(A4&gt;=50,OR(B4&lt;=5,C4="Массмаркет")),"Годна","Брак")</ns0:f>
        <ns0:v>Годна</ns0:v>
      </ns0:c>
    </ns0:row>
    <ns0:row r="5" spans="1:16">
      <ns0:c r="A5" s="4">
        <ns0:v>55</ns0:v>
      </ns0:c>
      <ns0:c r="B5" s="4">
        <ns0:v>8</ns0:v>
      </ns0:c>
      <ns0:c r="C5" s="4" t="s">
        <ns0:v>76</ns0:v>
      </ns0:c>
      <ns0:c r="D5" s="9" t="str">
        <ns0:f>IF(AND(A5&gt;=50,OR(B5&lt;=5,C5="Массмаркет")),"Годна","Брак")</ns0:f>
        <ns0:v>Годна</ns0:v>
      </ns0:c>
    </ns0:row>
    <ns0:row r="6" spans="1:16">
      <ns0:c r="A6" s="4">
        <ns0:v>55</ns0:v>
      </ns0:c>
      <ns0:c r="B6" s="4">
        <ns0:v>8</ns0:v>
      </ns0:c>
      <ns0:c r="C6" s="4" t="s">
        <ns0:v>75</ns0:v>
      </ns0:c>
      <ns0:c r="D6" s="9" t="str">
        <ns0:f>IF(AND(A6&gt;=50,OR(B6&lt;=5,C6="Массмаркет")),"Годна","Брак")</ns0:f>
        <ns0:v>Брак</ns0:v>
      </ns0:c>
    </ns0:row>
    <ns0:row r="9" spans="1:16">
      <ns0:c r="A9" s="2" t="s">
        <ns0:v>77</ns0:v>
      </ns0:c>
      <ns0:c r="B9" s="2"/>
      <ns0:c r="C9" s="2"/>
      <ns0:c r="D9" s="2"/>
      <ns0:c r="E9" s="2"/>
      <ns0:c r="F9" s="2"/>
      <ns0:c r="G9" s="2"/>
      <ns0:c r="H9" s="2"/>
    </ns0:row>
    <ns0:row r="10" spans="1:16">
      <ns0:c r="A10" s="2"/>
      <ns0:c r="B10" s="2"/>
      <ns0:c r="C10" s="2"/>
      <ns0:c r="D10" s="2"/>
      <ns0:c r="E10" s="2"/>
      <ns0:c r="F10" s="2"/>
      <ns0:c r="G10" s="2"/>
      <ns0:c r="H10" s="2"/>
    </ns0:row>
  </ns0:sheetData>
  <ns0:mergeCells count="1">
    <ns0:mergeCell ref="A9:H10"/>
  </ns0:mergeCells>
  <ns0:dataValidations count="1">
    <ns0:dataValidation type="list" allowBlank="1" showInputMessage="1" showErrorMessage="1" sqref="C2:C6">
      <ns0:formula1>"Премиум,Массмаркет"</ns0:formula1>
    </ns0:dataValidation>
  </ns0:dataValidations>
  <ns0:hyperlinks>
    <ns0:hyperlink ref="P1" location="'00_Навигация'!A1" display="← Содержание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</ns0:worksheet>
</file>

<file path=xl/worksheets/sheet12.xml><?xml version="1.0" encoding="utf-8"?>
<ns0:worksheet xmlns:ns0="http://schemas.openxmlformats.org/spreadsheetml/2006/main">
  <ns0:sheetPr>
    <ns0:pageSetUpPr fitToPage="1"/>
  </ns0:sheetPr>
  <ns0:dimension ref="A1:P6"/>
  <ns0:sheetViews>
    <ns0:sheetView showGridLines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24.7109375" customWidth="1"/>
    <ns0:col min="2" max="14" width="19.7109375" customWidth="1"/>
  </ns0:cols>
  <ns0:sheetData>
    <ns0:row r="1" spans="1:16">
      <ns0:c r="A1" s="3" t="s">
        <ns0:v>78</ns0:v>
      </ns0:c>
      <ns0:c r="B1" s="3" t="s">
        <ns0:v>79</ns0:v>
      </ns0:c>
      <ns0:c r="C1" s="3" t="s">
        <ns0:v>80</ns0:v>
      </ns0:c>
      <ns0:c r="D1" s="3" t="s">
        <ns0:v>81</ns0:v>
      </ns0:c>
      <ns0:c r="P1" s="6" t="s">
        <ns0:v>210</ns0:v>
      </ns0:c>
    </ns0:row>
    <ns0:row r="2" spans="1:16">
      <ns0:c r="A2" s="12">
        <ns0:v>45818</ns0:v>
      </ns0:c>
      <ns0:c r="B2" s="12">
        <ns0:v>45820</ns0:v>
      </ns0:c>
      <ns0:c r="C2" s="4">
        <ns0:v>15</ns0:v>
      </ns0:c>
      <ns0:c r="D2" s="13">
        <ns0:f>WORKDAY.INTL(A2,C2,1,$B$2:$B$3)</ns0:f>
        <ns0:v>45841</ns0:v>
      </ns0:c>
    </ns0:row>
    <ns0:row r="3" spans="1:16">
      <ns0:c r="B3" s="12">
        <ns0:v>45821</ns0:v>
      </ns0:c>
    </ns0:row>
    <ns0:row r="5" spans="1:16">
      <ns0:c r="A5" s="2" t="s">
        <ns0:v>82</ns0:v>
      </ns0:c>
      <ns0:c r="B5" s="2"/>
      <ns0:c r="C5" s="2"/>
      <ns0:c r="D5" s="2"/>
      <ns0:c r="E5" s="2"/>
      <ns0:c r="F5" s="2"/>
      <ns0:c r="G5" s="2"/>
      <ns0:c r="H5" s="2"/>
    </ns0:row>
    <ns0:row r="6" spans="1:16">
      <ns0:c r="A6" s="2"/>
      <ns0:c r="B6" s="2"/>
      <ns0:c r="C6" s="2"/>
      <ns0:c r="D6" s="2"/>
      <ns0:c r="E6" s="2"/>
      <ns0:c r="F6" s="2"/>
      <ns0:c r="G6" s="2"/>
      <ns0:c r="H6" s="2"/>
    </ns0:row>
  </ns0:sheetData>
  <ns0:mergeCells count="1">
    <ns0:mergeCell ref="A5:H6"/>
  </ns0:mergeCells>
  <ns0:hyperlinks>
    <ns0:hyperlink ref="P1" location="'00_Навигация'!A1" display="← Содержание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</ns0:worksheet>
</file>

<file path=xl/worksheets/sheet13.xml><?xml version="1.0" encoding="utf-8"?>
<ns0:worksheet xmlns:ns0="http://schemas.openxmlformats.org/spreadsheetml/2006/main">
  <ns0:sheetPr>
    <ns0:pageSetUpPr fitToPage="1"/>
  </ns0:sheetPr>
  <ns0:dimension ref="A1:P16"/>
  <ns0:sheetViews>
    <ns0:sheetView showGridLines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24.7109375" customWidth="1"/>
    <ns0:col min="2" max="14" width="19.7109375" customWidth="1"/>
  </ns0:cols>
  <ns0:sheetData>
    <ns0:row r="1" spans="1:16">
      <ns0:c r="A1" s="3" t="s">
        <ns0:v>83</ns0:v>
      </ns0:c>
      <ns0:c r="B1" s="3" t="s">
        <ns0:v>84</ns0:v>
      </ns0:c>
      <ns0:c r="C1" s="3" t="s">
        <ns0:v>85</ns0:v>
      </ns0:c>
      <ns0:c r="D1" s="3" t="s">
        <ns0:v>86</ns0:v>
      </ns0:c>
      <ns0:c r="E1" s="3" t="s">
        <ns0:v>87</ns0:v>
      </ns0:c>
      <ns0:c r="F1" s="3" t="s">
        <ns0:v>88</ns0:v>
      </ns0:c>
      <ns0:c r="G1" s="3" t="s">
        <ns0:v>89</ns0:v>
      </ns0:c>
      <ns0:c r="H1" s="3" t="s">
        <ns0:v>90</ns0:v>
      </ns0:c>
      <ns0:c r="P1" s="6" t="s">
        <ns0:v>210</ns0:v>
      </ns0:c>
    </ns0:row>
    <ns0:row r="2" spans="1:16">
      <ns0:c r="A2" s="4" t="s">
        <ns0:v>91</ns0:v>
      </ns0:c>
      <ns0:c r="B2" s="4">
        <ns0:v>1100</ns0:v>
      </ns0:c>
      <ns0:c r="C2" s="4">
        <ns0:v>1000</ns0:v>
      </ns0:c>
      <ns0:c r="D2" s="4">
        <ns0:v>20</ns0:v>
      </ns0:c>
      <ns0:c r="E2" s="4">
        <ns0:v>250</ns0:v>
      </ns0:c>
      <ns0:c r="F2" s="11">
        <ns0:f>B2/C2</ns0:f>
        <ns0:v>1.1</ns0:v>
      </ns0:c>
      <ns0:c r="G2" s="11">
        <ns0:f>D2/B2</ns0:f>
        <ns0:v>0.01818181818181818</ns0:v>
      </ns0:c>
      <ns0:c r="H2" s="8">
        <ns0:f>(B2-D2-C2)*E2</ns0:f>
        <ns0:v>20000</ns0:v>
      </ns0:c>
    </ns0:row>
    <ns0:row r="3" spans="1:16">
      <ns0:c r="A3" s="4" t="s">
        <ns0:v>92</ns0:v>
      </ns0:c>
      <ns0:c r="B3" s="4">
        <ns0:v>980</ns0:v>
      </ns0:c>
      <ns0:c r="C3" s="4">
        <ns0:v>1000</ns0:v>
      </ns0:c>
      <ns0:c r="D3" s="4">
        <ns0:v>30</ns0:v>
      </ns0:c>
      <ns0:c r="E3" s="4">
        <ns0:v>260</ns0:v>
      </ns0:c>
      <ns0:c r="F3" s="11">
        <ns0:f>B3/C3</ns0:f>
        <ns0:v>0.98</ns0:v>
      </ns0:c>
      <ns0:c r="G3" s="11">
        <ns0:f>D3/B3</ns0:f>
        <ns0:v>0.030612244897959183</ns0:v>
      </ns0:c>
      <ns0:c r="H3" s="8">
        <ns0:f>(B3-D3-C3)*E3</ns0:f>
        <ns0:v>-13000</ns0:v>
      </ns0:c>
    </ns0:row>
    <ns0:row r="4" spans="1:16">
      <ns0:c r="A4" s="4" t="s">
        <ns0:v>93</ns0:v>
      </ns0:c>
      <ns0:c r="B4" s="4">
        <ns0:v>1250</ns0:v>
      </ns0:c>
      <ns0:c r="C4" s="4">
        <ns0:v>1200</ns0:v>
      </ns0:c>
      <ns0:c r="D4" s="4">
        <ns0:v>25</ns0:v>
      </ns0:c>
      <ns0:c r="E4" s="4">
        <ns0:v>240</ns0:v>
      </ns0:c>
      <ns0:c r="F4" s="11">
        <ns0:f>B4/C4</ns0:f>
        <ns0:v>1.0416666666666667</ns0:v>
      </ns0:c>
      <ns0:c r="G4" s="11">
        <ns0:f>D4/B4</ns0:f>
        <ns0:v>0.02</ns0:v>
      </ns0:c>
      <ns0:c r="H4" s="8">
        <ns0:f>(B4-D4-C4)*E4</ns0:f>
        <ns0:v>6000</ns0:v>
      </ns0:c>
    </ns0:row>
    <ns0:row r="5" spans="1:16">
      <ns0:c r="A5" s="4" t="s">
        <ns0:v>94</ns0:v>
      </ns0:c>
      <ns0:c r="B5" s="4">
        <ns0:v>900</ns0:v>
      </ns0:c>
      <ns0:c r="C5" s="4">
        <ns0:v>950</ns0:v>
      </ns0:c>
      <ns0:c r="D5" s="4">
        <ns0:v>45</ns0:v>
      </ns0:c>
      <ns0:c r="E5" s="4">
        <ns0:v>270</ns0:v>
      </ns0:c>
      <ns0:c r="F5" s="11">
        <ns0:f>B5/C5</ns0:f>
        <ns0:v>0.9473684210526315</ns0:v>
      </ns0:c>
      <ns0:c r="G5" s="11">
        <ns0:f>D5/B5</ns0:f>
        <ns0:v>0.05</ns0:v>
      </ns0:c>
      <ns0:c r="H5" s="8">
        <ns0:f>(B5-D5-C5)*E5</ns0:f>
        <ns0:v>-25650</ns0:v>
      </ns0:c>
    </ns0:row>
    <ns0:row r="6" spans="1:16">
      <ns0:c r="A6" s="4" t="s">
        <ns0:v>95</ns0:v>
      </ns0:c>
      <ns0:c r="B6" s="4">
        <ns0:v>1500</ns0:v>
      </ns0:c>
      <ns0:c r="C6" s="4">
        <ns0:v>1400</ns0:v>
      </ns0:c>
      <ns0:c r="D6" s="4">
        <ns0:v>15</ns0:v>
      </ns0:c>
      <ns0:c r="E6" s="4">
        <ns0:v>230</ns0:v>
      </ns0:c>
      <ns0:c r="F6" s="11">
        <ns0:f>B6/C6</ns0:f>
        <ns0:v>1.0714285714285714</ns0:v>
      </ns0:c>
      <ns0:c r="G6" s="11">
        <ns0:f>D6/B6</ns0:f>
        <ns0:v>0.01</ns0:v>
      </ns0:c>
      <ns0:c r="H6" s="8">
        <ns0:f>(B6-D6-C6)*E6</ns0:f>
        <ns0:v>19550</ns0:v>
      </ns0:c>
    </ns0:row>
    <ns0:row r="9" spans="1:16">
      <ns0:c r="A9" s="5" t="s">
        <ns0:v>96</ns0:v>
      </ns0:c>
      <ns0:c r="B9" s="11">
        <ns0:f>AVERAGE(G2:G6)</ns0:f>
        <ns0:v>0.025758812615955473</ns0:v>
      </ns0:c>
    </ns0:row>
    <ns0:row r="10" spans="1:16">
      <ns0:c r="A10" s="5" t="s">
        <ns0:v>97</ns0:v>
      </ns0:c>
      <ns0:c r="B10" s="9" t="str">
        <ns0:f>INDEX(A2:A6,MATCH(MAX(H2:H6),H2:H6,0))</ns0:f>
        <ns0:v>Партия 1</ns0:v>
      </ns0:c>
    </ns0:row>
    <ns0:row r="11" spans="1:16">
      <ns0:c r="A11" s="5" t="s">
        <ns0:v>98</ns0:v>
      </ns0:c>
      <ns0:c r="B11" s="8">
        <ns0:f>MAX(H2:H6)</ns0:f>
        <ns0:v>20000</ns0:v>
      </ns0:c>
    </ns0:row>
    <ns0:row r="12" spans="1:16">
      <ns0:c r="A12" s="5" t="s">
        <ns0:v>99</ns0:v>
      </ns0:c>
      <ns0:c r="B12" s="10">
        <ns0:f>STDEV(E2:E6)</ns0:f>
        <ns0:v>15.811388300841896</ns0:v>
      </ns0:c>
    </ns0:row>
    <ns0:row r="13" spans="1:16">
      <ns0:c r="A13" s="5" t="s">
        <ns0:v>100</ns0:v>
      </ns0:c>
      <ns0:c r="B13" s="11">
        <ns0:f>SUM(D2:D6)/SUM(B2:B6)</ns0:f>
        <ns0:v>0.02356020942408377</ns0:v>
      </ns0:c>
    </ns0:row>
    <ns0:row r="15" spans="1:16">
      <ns0:c r="A15" s="2" t="s">
        <ns0:v>101</ns0:v>
      </ns0:c>
      <ns0:c r="B15" s="2"/>
      <ns0:c r="C15" s="2"/>
      <ns0:c r="D15" s="2"/>
      <ns0:c r="E15" s="2"/>
      <ns0:c r="F15" s="2"/>
      <ns0:c r="G15" s="2"/>
      <ns0:c r="H15" s="2"/>
    </ns0:row>
    <ns0:row r="16" spans="1:16">
      <ns0:c r="A16" s="2"/>
      <ns0:c r="B16" s="2"/>
      <ns0:c r="C16" s="2"/>
      <ns0:c r="D16" s="2"/>
      <ns0:c r="E16" s="2"/>
      <ns0:c r="F16" s="2"/>
      <ns0:c r="G16" s="2"/>
      <ns0:c r="H16" s="2"/>
    </ns0:row>
  </ns0:sheetData>
  <ns0:mergeCells count="1">
    <ns0:mergeCell ref="A15:H16"/>
  </ns0:mergeCells>
  <ns0:hyperlinks>
    <ns0:hyperlink ref="P1" location="'00_Навигация'!A1" display="← Содержание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</ns0:worksheet>
</file>

<file path=xl/worksheets/sheet14.xml><?xml version="1.0" encoding="utf-8"?>
<ns0:worksheet xmlns:ns0="http://schemas.openxmlformats.org/spreadsheetml/2006/main" xmlns:ns1="http://schemas.openxmlformats.org/officeDocument/2006/relationships">
  <ns0:sheetPr>
    <ns0:pageSetUpPr fitToPage="1"/>
  </ns0:sheetPr>
  <ns0:dimension ref="A1:P13"/>
  <ns0:sheetViews>
    <ns0:sheetView showGridLines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24.7109375" customWidth="1"/>
    <ns0:col min="2" max="14" width="19.7109375" customWidth="1"/>
  </ns0:cols>
  <ns0:sheetData>
    <ns0:row r="1" spans="1:16">
      <ns0:c r="A1" s="3" t="s">
        <ns0:v>102</ns0:v>
      </ns0:c>
      <ns0:c r="B1" s="3" t="s">
        <ns0:v>103</ns0:v>
      </ns0:c>
      <ns0:c r="C1" s="3" t="s">
        <ns0:v>104</ns0:v>
      </ns0:c>
      <ns0:c r="D1" s="3" t="s">
        <ns0:v>43</ns0:v>
      </ns0:c>
      <ns0:c r="E1" s="3" t="s">
        <ns0:v>105</ns0:v>
      </ns0:c>
      <ns0:c r="F1" s="3" t="s">
        <ns0:v>106</ns0:v>
      </ns0:c>
      <ns0:c r="G1" s="3" t="s">
        <ns0:v>107</ns0:v>
      </ns0:c>
      <ns0:c r="H1" s="3" t="s">
        <ns0:v>108</ns0:v>
      </ns0:c>
      <ns0:c r="P1" s="6" t="s">
        <ns0:v>210</ns0:v>
      </ns0:c>
    </ns0:row>
    <ns0:row r="2" spans="1:16">
      <ns0:c r="A2" s="4" t="s">
        <ns0:v>109</ns0:v>
      </ns0:c>
      <ns0:c r="B2" s="12">
        <ns0:v>46318</ns0:v>
      </ns0:c>
      <ns0:c r="C2" s="15">
        <ns0:v>0.3333333333333333</ns0:v>
      </ns0:c>
      <ns0:c r="D2" s="15">
        <ns0:v>0.7083333333333334</ns0:v>
      </ns0:c>
      <ns0:c r="E2" s="4">
        <ns0:v>1</ns0:v>
      </ns0:c>
      <ns0:c r="F2" s="10">
        <ns0:f>MAX(0,MOD(D2-C2,1)*24-E2)</ns0:f>
        <ns0:v>8</ns0:v>
      </ns0:c>
      <ns0:c r="G2" s="4">
        <ns0:v>350</ns0:v>
      </ns0:c>
      <ns0:c r="H2" s="8">
        <ns0:f>ROUND(F2*G2,2)</ns0:f>
        <ns0:v>2800</ns0:v>
      </ns0:c>
    </ns0:row>
    <ns0:row r="3" spans="1:16">
      <ns0:c r="A3" s="4" t="s">
        <ns0:v>110</ns0:v>
      </ns0:c>
      <ns0:c r="B3" s="12">
        <ns0:v>46318</ns0:v>
      </ns0:c>
      <ns0:c r="C3" s="15">
        <ns0:v>0.375</ns0:v>
      </ns0:c>
      <ns0:c r="D3" s="15">
        <ns0:v>0.75</ns0:v>
      </ns0:c>
      <ns0:c r="E3" s="4">
        <ns0:v>1</ns0:v>
      </ns0:c>
      <ns0:c r="F3" s="10">
        <ns0:f>MAX(0,MOD(D3-C3,1)*24-E3)</ns0:f>
        <ns0:v>8</ns0:v>
      </ns0:c>
      <ns0:c r="G3" s="4">
        <ns0:v>400</ns0:v>
      </ns0:c>
      <ns0:c r="H3" s="8">
        <ns0:f>ROUND(F3*G3,2)</ns0:f>
        <ns0:v>3200</ns0:v>
      </ns0:c>
    </ns0:row>
    <ns0:row r="4" spans="1:16">
      <ns0:c r="A4" s="4" t="s">
        <ns0:v>111</ns0:v>
      </ns0:c>
      <ns0:c r="B4" s="12">
        <ns0:v>46318</ns0:v>
      </ns0:c>
      <ns0:c r="C4" s="15">
        <ns0:v>0.9166666666666666</ns0:v>
      </ns0:c>
      <ns0:c r="D4" s="15">
        <ns0:v>0.25</ns0:v>
      </ns0:c>
      <ns0:c r="E4" s="4">
        <ns0:v>0.5</ns0:v>
      </ns0:c>
      <ns0:c r="F4" s="10">
        <ns0:f>MAX(0,MOD(D4-C4,1)*24-E4)</ns0:f>
        <ns0:v>7.5</ns0:v>
      </ns0:c>
      <ns0:c r="G4" s="4">
        <ns0:v>380</ns0:v>
      </ns0:c>
      <ns0:c r="H4" s="8">
        <ns0:f>ROUND(F4*G4,2)</ns0:f>
        <ns0:v>2850.0</ns0:v>
      </ns0:c>
    </ns0:row>
    <ns0:row r="5" spans="1:16">
      <ns0:c r="A5" s="4" t="s">
        <ns0:v>112</ns0:v>
      </ns0:c>
      <ns0:c r="B5" s="12">
        <ns0:v>46318</ns0:v>
      </ns0:c>
      <ns0:c r="C5" s="15">
        <ns0:v>0.3333333333333333</ns0:v>
      </ns0:c>
      <ns0:c r="D5" s="15">
        <ns0:v>0.6666666666666666</ns0:v>
      </ns0:c>
      <ns0:c r="E5" s="4">
        <ns0:v>0.5</ns0:v>
      </ns0:c>
      <ns0:c r="F5" s="10">
        <ns0:f>MAX(0,MOD(D5-C5,1)*24-E5)</ns0:f>
        <ns0:v>7.5</ns0:v>
      </ns0:c>
      <ns0:c r="G5" s="4">
        <ns0:v>420</ns0:v>
      </ns0:c>
      <ns0:c r="H5" s="8">
        <ns0:f>ROUND(F5*G5,2)</ns0:f>
        <ns0:v>3150.0</ns0:v>
      </ns0:c>
    </ns0:row>
    <ns0:row r="6" spans="1:16">
      <ns0:c r="A6" s="4" t="s">
        <ns0:v>113</ns0:v>
      </ns0:c>
      <ns0:c r="B6" s="12">
        <ns0:v>46318</ns0:v>
      </ns0:c>
      <ns0:c r="C6" s="15">
        <ns0:v>0.4166666666666667</ns0:v>
      </ns0:c>
      <ns0:c r="D6" s="15">
        <ns0:v>0.7916666666666666</ns0:v>
      </ns0:c>
      <ns0:c r="E6" s="4">
        <ns0:v>1</ns0:v>
      </ns0:c>
      <ns0:c r="F6" s="10">
        <ns0:f>MAX(0,MOD(D6-C6,1)*24-E6)</ns0:f>
        <ns0:v>8</ns0:v>
      </ns0:c>
      <ns0:c r="G6" s="4">
        <ns0:v>360</ns0:v>
      </ns0:c>
      <ns0:c r="H6" s="8">
        <ns0:f>ROUND(F6*G6,2)</ns0:f>
        <ns0:v>2880</ns0:v>
      </ns0:c>
    </ns0:row>
    <ns0:row r="8" spans="1:16">
      <ns0:c r="A8" s="5" t="s">
        <ns0:v>114</ns0:v>
      </ns0:c>
      <ns0:c r="B8" s="10">
        <ns0:f>SUM(F2:F6)</ns0:f>
        <ns0:v>39.0</ns0:v>
      </ns0:c>
    </ns0:row>
    <ns0:row r="9" spans="1:16">
      <ns0:c r="A9" s="5" t="s">
        <ns0:v>115</ns0:v>
      </ns0:c>
      <ns0:c r="B9" s="8">
        <ns0:f>SUM(H2:H6)</ns0:f>
        <ns0:v>14880.0</ns0:v>
      </ns0:c>
    </ns0:row>
    <ns0:row r="10" spans="1:16">
      <ns0:c r="A10" s="5" t="s">
        <ns0:v>116</ns0:v>
      </ns0:c>
      <ns0:c r="B10" s="8">
        <ns0:f>AVERAGE(H2:H6)</ns0:f>
        <ns0:v>2976.0</ns0:v>
      </ns0:c>
    </ns0:row>
    <ns0:row r="12" spans="1:16">
      <ns0:c r="A12" s="2" t="s">
        <ns0:v>117</ns0:v>
      </ns0:c>
      <ns0:c r="B12" s="2"/>
      <ns0:c r="C12" s="2"/>
      <ns0:c r="D12" s="2"/>
      <ns0:c r="E12" s="2"/>
      <ns0:c r="F12" s="2"/>
      <ns0:c r="G12" s="2"/>
      <ns0:c r="H12" s="2"/>
    </ns0:row>
    <ns0:row r="13" spans="1:16">
      <ns0:c r="A13" s="2"/>
      <ns0:c r="B13" s="2"/>
      <ns0:c r="C13" s="2"/>
      <ns0:c r="D13" s="2"/>
      <ns0:c r="E13" s="2"/>
      <ns0:c r="F13" s="2"/>
      <ns0:c r="G13" s="2"/>
      <ns0:c r="H13" s="2"/>
    </ns0:row>
  </ns0:sheetData>
  <ns0:mergeCells count="1">
    <ns0:mergeCell ref="A12:H13"/>
  </ns0:mergeCells>
  <ns0:hyperlinks>
    <ns0:hyperlink ref="P1" location="'00_Навигация'!A1" display="← Содержание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  <ns0:drawing ns1:id="rId1"/>
</ns0:worksheet>
</file>

<file path=xl/worksheets/sheet15.xml><?xml version="1.0" encoding="utf-8"?>
<ns0:worksheet xmlns:ns0="http://schemas.openxmlformats.org/spreadsheetml/2006/main" xmlns:ns1="http://schemas.openxmlformats.org/officeDocument/2006/relationships">
  <ns0:sheetPr>
    <ns0:pageSetUpPr fitToPage="1"/>
  </ns0:sheetPr>
  <ns0:dimension ref="A1:P13"/>
  <ns0:sheetViews>
    <ns0:sheetView showGridLines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24.7109375" customWidth="1"/>
    <ns0:col min="2" max="14" width="19.7109375" customWidth="1"/>
  </ns0:cols>
  <ns0:sheetData>
    <ns0:row r="1" spans="1:16">
      <ns0:c r="A1" s="3" t="s">
        <ns0:v>118</ns0:v>
      </ns0:c>
      <ns0:c r="B1" s="3" t="s">
        <ns0:v>6</ns0:v>
      </ns0:c>
      <ns0:c r="C1" s="3" t="s">
        <ns0:v>119</ns0:v>
      </ns0:c>
      <ns0:c r="D1" s="3" t="s">
        <ns0:v>120</ns0:v>
      </ns0:c>
      <ns0:c r="E1" s="3" t="s">
        <ns0:v>121</ns0:v>
      </ns0:c>
      <ns0:c r="F1" s="3" t="s">
        <ns0:v>122</ns0:v>
      </ns0:c>
      <ns0:c r="G1" s="3" t="s">
        <ns0:v>123</ns0:v>
      </ns0:c>
      <ns0:c r="H1" s="3" t="s">
        <ns0:v>124</ns0:v>
      </ns0:c>
      <ns0:c r="I1" s="3" t="s">
        <ns0:v>125</ns0:v>
      </ns0:c>
      <ns0:c r="P1" s="6" t="s">
        <ns0:v>210</ns0:v>
      </ns0:c>
    </ns0:row>
    <ns0:row r="2" spans="1:16">
      <ns0:c r="A2" s="4" t="s">
        <ns0:v>126</ns0:v>
      </ns0:c>
      <ns0:c r="B2" s="4" t="s">
        <ns0:v>127</ns0:v>
      </ns0:c>
      <ns0:c r="C2" s="4">
        <ns0:v>500</ns0:v>
      </ns0:c>
      <ns0:c r="D2" s="4">
        <ns0:v>200</ns0:v>
      </ns0:c>
      <ns0:c r="E2" s="4">
        <ns0:v>600</ns0:v>
      </ns0:c>
      <ns0:c r="F2" s="9">
        <ns0:f>C2+D2-E2</ns0:f>
        <ns0:v>100</ns0:v>
      </ns0:c>
      <ns0:c r="G2" s="4">
        <ns0:v>150</ns0:v>
      </ns0:c>
      <ns0:c r="H2" s="9" t="str">
        <ns0:f>IF(F2&lt;=G2,"Пополнить","Достаточно")</ns0:f>
        <ns0:v>Пополнить</ns0:v>
      </ns0:c>
      <ns0:c r="I2" s="9">
        <ns0:f>MAX(0,G2-F2)</ns0:f>
        <ns0:v>50</ns0:v>
      </ns0:c>
    </ns0:row>
    <ns0:row r="3" spans="1:16">
      <ns0:c r="A3" s="4" t="s">
        <ns0:v>128</ns0:v>
      </ns0:c>
      <ns0:c r="B3" s="4" t="s">
        <ns0:v>127</ns0:v>
      </ns0:c>
      <ns0:c r="C3" s="4">
        <ns0:v>300</ns0:v>
      </ns0:c>
      <ns0:c r="D3" s="4">
        <ns0:v>100</ns0:v>
      </ns0:c>
      <ns0:c r="E3" s="4">
        <ns0:v>200</ns0:v>
      </ns0:c>
      <ns0:c r="F3" s="9">
        <ns0:f>C3+D3-E3</ns0:f>
        <ns0:v>200</ns0:v>
      </ns0:c>
      <ns0:c r="G3" s="4">
        <ns0:v>100</ns0:v>
      </ns0:c>
      <ns0:c r="H3" s="9" t="str">
        <ns0:f>IF(F3&lt;=G3,"Пополнить","Достаточно")</ns0:f>
        <ns0:v>Достаточно</ns0:v>
      </ns0:c>
      <ns0:c r="I3" s="9">
        <ns0:f>MAX(0,G3-F3)</ns0:f>
        <ns0:v>0</ns0:v>
      </ns0:c>
    </ns0:row>
    <ns0:row r="4" spans="1:16">
      <ns0:c r="A4" s="4" t="s">
        <ns0:v>129</ns0:v>
      </ns0:c>
      <ns0:c r="B4" s="4" t="s">
        <ns0:v>127</ns0:v>
      </ns0:c>
      <ns0:c r="C4" s="4">
        <ns0:v>150</ns0:v>
      </ns0:c>
      <ns0:c r="D4" s="4">
        <ns0:v>50</ns0:v>
      </ns0:c>
      <ns0:c r="E4" s="4">
        <ns0:v>170</ns0:v>
      </ns0:c>
      <ns0:c r="F4" s="9">
        <ns0:f>C4+D4-E4</ns0:f>
        <ns0:v>30</ns0:v>
      </ns0:c>
      <ns0:c r="G4" s="4">
        <ns0:v>50</ns0:v>
      </ns0:c>
      <ns0:c r="H4" s="9" t="str">
        <ns0:f>IF(F4&lt;=G4,"Пополнить","Достаточно")</ns0:f>
        <ns0:v>Пополнить</ns0:v>
      </ns0:c>
      <ns0:c r="I4" s="9">
        <ns0:f>MAX(0,G4-F4)</ns0:f>
        <ns0:v>20</ns0:v>
      </ns0:c>
    </ns0:row>
    <ns0:row r="5" spans="1:16">
      <ns0:c r="A5" s="4" t="s">
        <ns0:v>130</ns0:v>
      </ns0:c>
      <ns0:c r="B5" s="4" t="s">
        <ns0:v>127</ns0:v>
      </ns0:c>
      <ns0:c r="C5" s="4">
        <ns0:v>800</ns0:v>
      </ns0:c>
      <ns0:c r="D5" s="4">
        <ns0:v>300</ns0:v>
      </ns0:c>
      <ns0:c r="E5" s="4">
        <ns0:v>700</ns0:v>
      </ns0:c>
      <ns0:c r="F5" s="9">
        <ns0:f>C5+D5-E5</ns0:f>
        <ns0:v>400</ns0:v>
      </ns0:c>
      <ns0:c r="G5" s="4">
        <ns0:v>250</ns0:v>
      </ns0:c>
      <ns0:c r="H5" s="9" t="str">
        <ns0:f>IF(F5&lt;=G5,"Пополнить","Достаточно")</ns0:f>
        <ns0:v>Достаточно</ns0:v>
      </ns0:c>
      <ns0:c r="I5" s="9">
        <ns0:f>MAX(0,G5-F5)</ns0:f>
        <ns0:v>0</ns0:v>
      </ns0:c>
    </ns0:row>
    <ns0:row r="6" spans="1:16">
      <ns0:c r="A6" s="4" t="s">
        <ns0:v>131</ns0:v>
      </ns0:c>
      <ns0:c r="B6" s="4" t="s">
        <ns0:v>127</ns0:v>
      </ns0:c>
      <ns0:c r="C6" s="4">
        <ns0:v>400</ns0:v>
      </ns0:c>
      <ns0:c r="D6" s="4">
        <ns0:v>100</ns0:v>
      </ns0:c>
      <ns0:c r="E6" s="4">
        <ns0:v>420</ns0:v>
      </ns0:c>
      <ns0:c r="F6" s="9">
        <ns0:f>C6+D6-E6</ns0:f>
        <ns0:v>80</ns0:v>
      </ns0:c>
      <ns0:c r="G6" s="4">
        <ns0:v>100</ns0:v>
      </ns0:c>
      <ns0:c r="H6" s="9" t="str">
        <ns0:f>IF(F6&lt;=G6,"Пополнить","Достаточно")</ns0:f>
        <ns0:v>Пополнить</ns0:v>
      </ns0:c>
      <ns0:c r="I6" s="9">
        <ns0:f>MAX(0,G6-F6)</ns0:f>
        <ns0:v>20</ns0:v>
      </ns0:c>
    </ns0:row>
    <ns0:row r="8" spans="1:16">
      <ns0:c r="A8" s="5" t="s">
        <ns0:v>132</ns0:v>
      </ns0:c>
      <ns0:c r="B8" s="9">
        <ns0:f>COUNTIF(H2:H6,"Пополнить")</ns0:f>
        <ns0:v>3</ns0:v>
      </ns0:c>
    </ns0:row>
    <ns0:row r="9" spans="1:16">
      <ns0:c r="A9" s="5" t="s">
        <ns0:v>133</ns0:v>
      </ns0:c>
      <ns0:c r="B9" s="9">
        <ns0:f>SUM(I2:I6)</ns0:f>
        <ns0:v>90</ns0:v>
      </ns0:c>
    </ns0:row>
    <ns0:row r="10" spans="1:16">
      <ns0:c r="A10" s="5" t="s">
        <ns0:v>134</ns0:v>
      </ns0:c>
      <ns0:c r="B10" s="9">
        <ns0:f>SUM(F2:F6)</ns0:f>
        <ns0:v>810</ns0:v>
      </ns0:c>
    </ns0:row>
    <ns0:row r="12" spans="1:16">
      <ns0:c r="A12" s="2" t="s">
        <ns0:v>135</ns0:v>
      </ns0:c>
      <ns0:c r="B12" s="2"/>
      <ns0:c r="C12" s="2"/>
      <ns0:c r="D12" s="2"/>
      <ns0:c r="E12" s="2"/>
      <ns0:c r="F12" s="2"/>
      <ns0:c r="G12" s="2"/>
      <ns0:c r="H12" s="2"/>
    </ns0:row>
    <ns0:row r="13" spans="1:16">
      <ns0:c r="A13" s="2"/>
      <ns0:c r="B13" s="2"/>
      <ns0:c r="C13" s="2"/>
      <ns0:c r="D13" s="2"/>
      <ns0:c r="E13" s="2"/>
      <ns0:c r="F13" s="2"/>
      <ns0:c r="G13" s="2"/>
      <ns0:c r="H13" s="2"/>
    </ns0:row>
  </ns0:sheetData>
  <ns0:mergeCells count="1">
    <ns0:mergeCell ref="A12:H13"/>
  </ns0:mergeCells>
  <ns0:hyperlinks>
    <ns0:hyperlink ref="P1" location="'00_Навигация'!A1" display="← Содержание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  <ns0:drawing ns1:id="rId1"/>
</ns0:worksheet>
</file>

<file path=xl/worksheets/sheet16.xml><?xml version="1.0" encoding="utf-8"?>
<ns0:worksheet xmlns:ns0="http://schemas.openxmlformats.org/spreadsheetml/2006/main" xmlns:ns1="http://schemas.openxmlformats.org/officeDocument/2006/relationships">
  <ns0:sheetPr>
    <ns0:pageSetUpPr fitToPage="1"/>
  </ns0:sheetPr>
  <ns0:dimension ref="A1:P12"/>
  <ns0:sheetViews>
    <ns0:sheetView showGridLines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24.7109375" customWidth="1"/>
    <ns0:col min="2" max="14" width="19.7109375" customWidth="1"/>
  </ns0:cols>
  <ns0:sheetData>
    <ns0:row r="1" spans="1:16">
      <ns0:c r="A1" s="3" t="s">
        <ns0:v>136</ns0:v>
      </ns0:c>
      <ns0:c r="B1" s="3" t="s">
        <ns0:v>137</ns0:v>
      </ns0:c>
      <ns0:c r="C1" s="3" t="s">
        <ns0:v>138</ns0:v>
      </ns0:c>
      <ns0:c r="D1" s="3" t="s">
        <ns0:v>139</ns0:v>
      </ns0:c>
      <ns0:c r="E1" s="3" t="s">
        <ns0:v>140</ns0:v>
      </ns0:c>
      <ns0:c r="F1" s="3" t="s">
        <ns0:v>141</ns0:v>
      </ns0:c>
      <ns0:c r="G1" s="3" t="s">
        <ns0:v>89</ns0:v>
      </ns0:c>
      <ns0:c r="H1" s="3" t="s">
        <ns0:v>142</ns0:v>
      </ns0:c>
      <ns0:c r="I1" s="3" t="s">
        <ns0:v>124</ns0:v>
      </ns0:c>
      <ns0:c r="P1" s="6" t="s">
        <ns0:v>210</ns0:v>
      </ns0:c>
    </ns0:row>
    <ns0:row r="2" spans="1:16">
      <ns0:c r="A2" s="4" t="s">
        <ns0:v>14</ns0:v>
      </ns0:c>
      <ns0:c r="B2" s="4">
        <ns0:v>500</ns0:v>
      </ns0:c>
      <ns0:c r="C2" s="4">
        <ns0:v>470</ns0:v>
      </ns0:c>
      <ns0:c r="D2" s="4">
        <ns0:v>10</ns0:v>
      </ns0:c>
      <ns0:c r="E2" s="9">
        <ns0:f>C2-D2</ns0:f>
        <ns0:v>460</ns0:v>
      </ns0:c>
      <ns0:c r="F2" s="11">
        <ns0:f>IFERROR(E2/B2,0)</ns0:f>
        <ns0:v>0.92</ns0:v>
      </ns0:c>
      <ns0:c r="G2" s="11">
        <ns0:f>IFERROR(D2/C2,0)</ns0:f>
        <ns0:v>0.02127659574468085</ns0:v>
      </ns0:c>
      <ns0:c r="H2" s="9">
        <ns0:f>E2-B2</ns0:f>
        <ns0:v>-40</ns0:v>
      </ns0:c>
      <ns0:c r="I2" s="9" t="str">
        <ns0:f>IF(F2&gt;=1,"Выполнен","Не выполнен")</ns0:f>
        <ns0:v>Не выполнен</ns0:v>
      </ns0:c>
    </ns0:row>
    <ns0:row r="3" spans="1:16">
      <ns0:c r="A3" s="4" t="s">
        <ns0:v>16</ns0:v>
      </ns0:c>
      <ns0:c r="B3" s="4">
        <ns0:v>300</ns0:v>
      </ns0:c>
      <ns0:c r="C3" s="4">
        <ns0:v>300</ns0:v>
      </ns0:c>
      <ns0:c r="D3" s="4">
        <ns0:v>3</ns0:v>
      </ns0:c>
      <ns0:c r="E3" s="9">
        <ns0:f>C3-D3</ns0:f>
        <ns0:v>297</ns0:v>
      </ns0:c>
      <ns0:c r="F3" s="11">
        <ns0:f>IFERROR(E3/B3,0)</ns0:f>
        <ns0:v>0.99</ns0:v>
      </ns0:c>
      <ns0:c r="G3" s="11">
        <ns0:f>IFERROR(D3/C3,0)</ns0:f>
        <ns0:v>0.01</ns0:v>
      </ns0:c>
      <ns0:c r="H3" s="9">
        <ns0:f>E3-B3</ns0:f>
        <ns0:v>-3</ns0:v>
      </ns0:c>
      <ns0:c r="I3" s="9" t="str">
        <ns0:f>IF(F3&gt;=1,"Выполнен","Не выполнен")</ns0:f>
        <ns0:v>Не выполнен</ns0:v>
      </ns0:c>
    </ns0:row>
    <ns0:row r="4" spans="1:16">
      <ns0:c r="A4" s="4" t="s">
        <ns0:v>17</ns0:v>
      </ns0:c>
      <ns0:c r="B4" s="4">
        <ns0:v>400</ns0:v>
      </ns0:c>
      <ns0:c r="C4" s="4">
        <ns0:v>460</ns0:v>
      </ns0:c>
      <ns0:c r="D4" s="4">
        <ns0:v>6</ns0:v>
      </ns0:c>
      <ns0:c r="E4" s="9">
        <ns0:f>C4-D4</ns0:f>
        <ns0:v>454</ns0:v>
      </ns0:c>
      <ns0:c r="F4" s="11">
        <ns0:f>IFERROR(E4/B4,0)</ns0:f>
        <ns0:v>1.135</ns0:v>
      </ns0:c>
      <ns0:c r="G4" s="11">
        <ns0:f>IFERROR(D4/C4,0)</ns0:f>
        <ns0:v>0.013043478260869565</ns0:v>
      </ns0:c>
      <ns0:c r="H4" s="9">
        <ns0:f>E4-B4</ns0:f>
        <ns0:v>54</ns0:v>
      </ns0:c>
      <ns0:c r="I4" s="9" t="str">
        <ns0:f>IF(F4&gt;=1,"Выполнен","Не выполнен")</ns0:f>
        <ns0:v>Выполнен</ns0:v>
      </ns0:c>
    </ns0:row>
    <ns0:row r="5" spans="1:16">
      <ns0:c r="A5" s="4" t="s">
        <ns0:v>18</ns0:v>
      </ns0:c>
      <ns0:c r="B5" s="4">
        <ns0:v>470</ns0:v>
      </ns0:c>
      <ns0:c r="C5" s="4">
        <ns0:v>450</ns0:v>
      </ns0:c>
      <ns0:c r="D5" s="4">
        <ns0:v>9</ns0:v>
      </ns0:c>
      <ns0:c r="E5" s="9">
        <ns0:f>C5-D5</ns0:f>
        <ns0:v>441</ns0:v>
      </ns0:c>
      <ns0:c r="F5" s="11">
        <ns0:f>IFERROR(E5/B5,0)</ns0:f>
        <ns0:v>0.9382978723404255</ns0:v>
      </ns0:c>
      <ns0:c r="G5" s="11">
        <ns0:f>IFERROR(D5/C5,0)</ns0:f>
        <ns0:v>0.02</ns0:v>
      </ns0:c>
      <ns0:c r="H5" s="9">
        <ns0:f>E5-B5</ns0:f>
        <ns0:v>-29</ns0:v>
      </ns0:c>
      <ns0:c r="I5" s="9" t="str">
        <ns0:f>IF(F5&gt;=1,"Выполнен","Не выполнен")</ns0:f>
        <ns0:v>Не выполнен</ns0:v>
      </ns0:c>
    </ns0:row>
    <ns0:row r="7" spans="1:16">
      <ns0:c r="A7" s="5" t="s">
        <ns0:v>140</ns0:v>
      </ns0:c>
      <ns0:c r="B7" s="9">
        <ns0:f>SUM(E2:E5)</ns0:f>
        <ns0:v>1652</ns0:v>
      </ns0:c>
    </ns0:row>
    <ns0:row r="8" spans="1:16">
      <ns0:c r="A8" s="5" t="s">
        <ns0:v>143</ns0:v>
      </ns0:c>
      <ns0:c r="B8" s="11">
        <ns0:f>IFERROR(SUM(E2:E5)/SUM(B2:B5),0)</ns0:f>
        <ns0:v>0.9892215568862276</ns0:v>
      </ns0:c>
    </ns0:row>
    <ns0:row r="9" spans="1:16">
      <ns0:c r="A9" s="5" t="s">
        <ns0:v>144</ns0:v>
      </ns0:c>
      <ns0:c r="B9" s="11">
        <ns0:f>IFERROR(SUM(D2:D5)/SUM(C2:C5),0)</ns0:f>
        <ns0:v>0.016666666666666666</ns0:v>
      </ns0:c>
    </ns0:row>
    <ns0:row r="11" spans="1:16">
      <ns0:c r="A11" s="2" t="s">
        <ns0:v>145</ns0:v>
      </ns0:c>
      <ns0:c r="B11" s="2"/>
      <ns0:c r="C11" s="2"/>
      <ns0:c r="D11" s="2"/>
      <ns0:c r="E11" s="2"/>
      <ns0:c r="F11" s="2"/>
      <ns0:c r="G11" s="2"/>
      <ns0:c r="H11" s="2"/>
    </ns0:row>
    <ns0:row r="12" spans="1:16">
      <ns0:c r="A12" s="2"/>
      <ns0:c r="B12" s="2"/>
      <ns0:c r="C12" s="2"/>
      <ns0:c r="D12" s="2"/>
      <ns0:c r="E12" s="2"/>
      <ns0:c r="F12" s="2"/>
      <ns0:c r="G12" s="2"/>
      <ns0:c r="H12" s="2"/>
    </ns0:row>
  </ns0:sheetData>
  <ns0:mergeCells count="1">
    <ns0:mergeCell ref="A11:H12"/>
  </ns0:mergeCells>
  <ns0:hyperlinks>
    <ns0:hyperlink ref="P1" location="'00_Навигация'!A1" display="← Содержание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  <ns0:drawing ns1:id="rId1"/>
</ns0:worksheet>
</file>

<file path=xl/worksheets/sheet17.xml><?xml version="1.0" encoding="utf-8"?>
<ns0:worksheet xmlns:ns0="http://schemas.openxmlformats.org/spreadsheetml/2006/main" xmlns:ns1="http://schemas.openxmlformats.org/officeDocument/2006/relationships">
  <ns0:sheetPr>
    <ns0:pageSetUpPr fitToPage="1"/>
  </ns0:sheetPr>
  <ns0:dimension ref="A1:P13"/>
  <ns0:sheetViews>
    <ns0:sheetView showGridLines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24.7109375" customWidth="1"/>
    <ns0:col min="2" max="14" width="19.7109375" customWidth="1"/>
  </ns0:cols>
  <ns0:sheetData>
    <ns0:row r="1" spans="1:16">
      <ns0:c r="A1" s="3" t="s">
        <ns0:v>146</ns0:v>
      </ns0:c>
      <ns0:c r="B1" s="3" t="s">
        <ns0:v>147</ns0:v>
      </ns0:c>
      <ns0:c r="C1" s="3" t="s">
        <ns0:v>148</ns0:v>
      </ns0:c>
      <ns0:c r="D1" s="3" t="s">
        <ns0:v>149</ns0:v>
      </ns0:c>
      <ns0:c r="E1" s="3" t="s">
        <ns0:v>150</ns0:v>
      </ns0:c>
      <ns0:c r="F1" s="3" t="s">
        <ns0:v>151</ns0:v>
      </ns0:c>
      <ns0:c r="G1" s="3" t="s">
        <ns0:v>152</ns0:v>
      </ns0:c>
      <ns0:c r="H1" s="3" t="s">
        <ns0:v>153</ns0:v>
      </ns0:c>
      <ns0:c r="I1" s="3" t="s">
        <ns0:v>154</ns0:v>
      </ns0:c>
      <ns0:c r="J1" s="3" t="s">
        <ns0:v>155</ns0:v>
      </ns0:c>
      <ns0:c r="L1" s="3" t="s">
        <ns0:v>156</ns0:v>
      </ns0:c>
      <ns0:c r="M1" s="3" t="s">
        <ns0:v>157</ns0:v>
      </ns0:c>
      <ns0:c r="P1" s="6" t="s">
        <ns0:v>210</ns0:v>
      </ns0:c>
    </ns0:row>
    <ns0:row r="2" spans="1:16">
      <ns0:c r="A2" s="4" t="s">
        <ns0:v>158</ns0:v>
      </ns0:c>
      <ns0:c r="B2" s="4">
        <ns0:v>20</ns0:v>
      </ns0:c>
      <ns0:c r="C2" s="4">
        <ns0:v>5</ns0:v>
      </ns0:c>
      <ns0:c r="D2" s="4">
        <ns0:v>2</ns0:v>
      </ns0:c>
      <ns0:c r="E2" s="9">
        <ns0:f>B2*C2*D2</ns0:f>
        <ns0:v>200</ns0:v>
      </ns0:c>
      <ns0:c r="F2" s="4">
        <ns0:v>10</ns0:v>
      </ns0:c>
      <ns0:c r="G2" s="10">
        <ns0:f>ROUND(E2*F2/100,2)</ns0:f>
        <ns0:v>20.0</ns0:v>
      </ns0:c>
      <ns0:c r="H2" s="8">
        <ns0:f>ROUND(G2*$L$2,2)</ns0:f>
        <ns0:v>1300.0</ns0:v>
      </ns0:c>
      <ns0:c r="I2" s="8">
        <ns0:f>E2*$M$2</ns0:f>
        <ns0:v>2400</ns0:v>
      </ns0:c>
      <ns0:c r="J2" s="8">
        <ns0:f>SUM(H2:I2)</ns0:f>
        <ns0:v>3700.0</ns0:v>
      </ns0:c>
      <ns0:c r="L2" s="4">
        <ns0:v>65</ns0:v>
      </ns0:c>
      <ns0:c r="M2" s="4">
        <ns0:v>12</ns0:v>
      </ns0:c>
    </ns0:row>
    <ns0:row r="3" spans="1:16">
      <ns0:c r="A3" s="4" t="s">
        <ns0:v>159</ns0:v>
      </ns0:c>
      <ns0:c r="B3" s="4">
        <ns0:v>35</ns0:v>
      </ns0:c>
      <ns0:c r="C3" s="4">
        <ns0:v>3</ns0:v>
      </ns0:c>
      <ns0:c r="D3" s="4">
        <ns0:v>2</ns0:v>
      </ns0:c>
      <ns0:c r="E3" s="9">
        <ns0:f>B3*C3*D3</ns0:f>
        <ns0:v>210</ns0:v>
      </ns0:c>
      <ns0:c r="F3" s="4">
        <ns0:v>11</ns0:v>
      </ns0:c>
      <ns0:c r="G3" s="10">
        <ns0:f>ROUND(E3*F3/100,2)</ns0:f>
        <ns0:v>23.1</ns0:v>
      </ns0:c>
      <ns0:c r="H3" s="8">
        <ns0:f>ROUND(G3*$L$2,2)</ns0:f>
        <ns0:v>1501.5</ns0:v>
      </ns0:c>
      <ns0:c r="I3" s="8">
        <ns0:f>E3*$M$2</ns0:f>
        <ns0:v>2520</ns0:v>
      </ns0:c>
      <ns0:c r="J3" s="8">
        <ns0:f>SUM(H3:I3)</ns0:f>
        <ns0:v>4021.5</ns0:v>
      </ns0:c>
    </ns0:row>
    <ns0:row r="4" spans="1:16">
      <ns0:c r="A4" s="4" t="s">
        <ns0:v>160</ns0:v>
      </ns0:c>
      <ns0:c r="B4" s="4">
        <ns0:v>60</ns0:v>
      </ns0:c>
      <ns0:c r="C4" s="4">
        <ns0:v>2</ns0:v>
      </ns0:c>
      <ns0:c r="D4" s="4">
        <ns0:v>2</ns0:v>
      </ns0:c>
      <ns0:c r="E4" s="9">
        <ns0:f>B4*C4*D4</ns0:f>
        <ns0:v>240</ns0:v>
      </ns0:c>
      <ns0:c r="F4" s="4">
        <ns0:v>12</ns0:v>
      </ns0:c>
      <ns0:c r="G4" s="10">
        <ns0:f>ROUND(E4*F4/100,2)</ns0:f>
        <ns0:v>28.8</ns0:v>
      </ns0:c>
      <ns0:c r="H4" s="8">
        <ns0:f>ROUND(G4*$L$2,2)</ns0:f>
        <ns0:v>1872.0</ns0:v>
      </ns0:c>
      <ns0:c r="I4" s="8">
        <ns0:f>E4*$M$2</ns0:f>
        <ns0:v>2880</ns0:v>
      </ns0:c>
      <ns0:c r="J4" s="8">
        <ns0:f>SUM(H4:I4)</ns0:f>
        <ns0:v>4752.0</ns0:v>
      </ns0:c>
    </ns0:row>
    <ns0:row r="5" spans="1:16">
      <ns0:c r="A5" s="4" t="s">
        <ns0:v>161</ns0:v>
      </ns0:c>
      <ns0:c r="B5" s="4">
        <ns0:v>15</ns0:v>
      </ns0:c>
      <ns0:c r="C5" s="4">
        <ns0:v>6</ns0:v>
      </ns0:c>
      <ns0:c r="D5" s="4">
        <ns0:v>2</ns0:v>
      </ns0:c>
      <ns0:c r="E5" s="9">
        <ns0:f>B5*C5*D5</ns0:f>
        <ns0:v>180</ns0:v>
      </ns0:c>
      <ns0:c r="F5" s="4">
        <ns0:v>9</ns0:v>
      </ns0:c>
      <ns0:c r="G5" s="10">
        <ns0:f>ROUND(E5*F5/100,2)</ns0:f>
        <ns0:v>16.2</ns0:v>
      </ns0:c>
      <ns0:c r="H5" s="8">
        <ns0:f>ROUND(G5*$L$2,2)</ns0:f>
        <ns0:v>1053.0</ns0:v>
      </ns0:c>
      <ns0:c r="I5" s="8">
        <ns0:f>E5*$M$2</ns0:f>
        <ns0:v>2160</ns0:v>
      </ns0:c>
      <ns0:c r="J5" s="8">
        <ns0:f>SUM(H5:I5)</ns0:f>
        <ns0:v>3213.0</ns0:v>
      </ns0:c>
    </ns0:row>
    <ns0:row r="7" spans="1:16">
      <ns0:c r="A7" s="5" t="s">
        <ns0:v>150</ns0:v>
      </ns0:c>
      <ns0:c r="B7" s="9">
        <ns0:f>SUM(E2:E5)</ns0:f>
        <ns0:v>830</ns0:v>
      </ns0:c>
    </ns0:row>
    <ns0:row r="8" spans="1:16">
      <ns0:c r="A8" s="5" t="s">
        <ns0:v>152</ns0:v>
      </ns0:c>
      <ns0:c r="B8" s="10">
        <ns0:f>SUM(G2:G5)</ns0:f>
        <ns0:v>88.10000000000001</ns0:v>
      </ns0:c>
    </ns0:row>
    <ns0:row r="9" spans="1:16">
      <ns0:c r="A9" s="5" t="s">
        <ns0:v>162</ns0:v>
      </ns0:c>
      <ns0:c r="B9" s="8">
        <ns0:f>SUM(J2:J5)</ns0:f>
        <ns0:v>15686.5</ns0:v>
      </ns0:c>
    </ns0:row>
    <ns0:row r="10" spans="1:16">
      <ns0:c r="A10" s="5" t="s">
        <ns0:v>163</ns0:v>
      </ns0:c>
      <ns0:c r="B10" s="8">
        <ns0:f>IFERROR(SUM(J2:J5)/SUM(E2:E5),0)</ns0:f>
        <ns0:v>18.899397590361446</ns0:v>
      </ns0:c>
    </ns0:row>
    <ns0:row r="12" spans="1:16">
      <ns0:c r="A12" s="2" t="s">
        <ns0:v>164</ns0:v>
      </ns0:c>
      <ns0:c r="B12" s="2"/>
      <ns0:c r="C12" s="2"/>
      <ns0:c r="D12" s="2"/>
      <ns0:c r="E12" s="2"/>
      <ns0:c r="F12" s="2"/>
      <ns0:c r="G12" s="2"/>
      <ns0:c r="H12" s="2"/>
    </ns0:row>
    <ns0:row r="13" spans="1:16">
      <ns0:c r="A13" s="2"/>
      <ns0:c r="B13" s="2"/>
      <ns0:c r="C13" s="2"/>
      <ns0:c r="D13" s="2"/>
      <ns0:c r="E13" s="2"/>
      <ns0:c r="F13" s="2"/>
      <ns0:c r="G13" s="2"/>
      <ns0:c r="H13" s="2"/>
    </ns0:row>
  </ns0:sheetData>
  <ns0:mergeCells count="1">
    <ns0:mergeCell ref="A12:H13"/>
  </ns0:mergeCells>
  <ns0:hyperlinks>
    <ns0:hyperlink ref="P1" location="'00_Навигация'!A1" display="← Содержание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  <ns0:drawing ns1:id="rId1"/>
</ns0:worksheet>
</file>

<file path=xl/worksheets/sheet18.xml><?xml version="1.0" encoding="utf-8"?>
<ns0:worksheet xmlns:ns0="http://schemas.openxmlformats.org/spreadsheetml/2006/main" xmlns:ns1="http://schemas.openxmlformats.org/officeDocument/2006/relationships">
  <ns0:sheetPr>
    <ns0:pageSetUpPr fitToPage="1"/>
  </ns0:sheetPr>
  <ns0:dimension ref="A1:P17"/>
  <ns0:sheetViews>
    <ns0:sheetView showGridLines="1" zoomScale="85" zoomScaleNormal="85" workbookViewId="0">
      <ns0:pane ySplit="1" topLeftCell="A2" activePane="bottomLeft" state="frozen"/>
      <ns0:selection pane="bottomLeft"/>
    </ns0:sheetView>
  </ns0:sheetViews>
  <ns0:sheetFormatPr defaultRowHeight="33.75" customHeight="1"/>
  <ns0:cols>
    <ns0:col min="1" max="1" width="24.7109375" customWidth="1"/>
    <ns0:col min="2" max="14" width="19.7109375" customWidth="1"/>
  </ns0:cols>
  <ns0:sheetData>
    <ns0:row r="1" spans="1:16">
      <ns0:c r="A1" s="3" t="s">
        <ns0:v>136</ns0:v>
      </ns0:c>
      <ns0:c r="B1" s="3" t="s">
        <ns0:v>137</ns0:v>
      </ns0:c>
      <ns0:c r="C1" s="3" t="s">
        <ns0:v>138</ns0:v>
      </ns0:c>
      <ns0:c r="D1" s="3" t="s">
        <ns0:v>139</ns0:v>
      </ns0:c>
      <ns0:c r="E1" s="3" t="s">
        <ns0:v>140</ns0:v>
      </ns0:c>
      <ns0:c r="F1" s="3" t="s">
        <ns0:v>165</ns0:v>
      </ns0:c>
      <ns0:c r="G1" s="3" t="s">
        <ns0:v>166</ns0:v>
      </ns0:c>
      <ns0:c r="H1" s="3" t="s">
        <ns0:v>167</ns0:v>
      </ns0:c>
      <ns0:c r="I1" s="3" t="s">
        <ns0:v>168</ns0:v>
      </ns0:c>
      <ns0:c r="J1" s="3" t="s">
        <ns0:v>141</ns0:v>
      </ns0:c>
      <ns0:c r="K1" s="3" t="s">
        <ns0:v>89</ns0:v>
      </ns0:c>
      <ns0:c r="L1" s="3" t="s">
        <ns0:v>124</ns0:v>
      </ns0:c>
      <ns0:c r="N1" s="3" t="s">
        <ns0:v>169</ns0:v>
      </ns0:c>
      <ns0:c r="P1" s="6" t="s">
        <ns0:v>210</ns0:v>
      </ns0:c>
    </ns0:row>
    <ns0:row r="2" spans="1:16">
      <ns0:c r="A2" s="9" t="str">
        <ns0:f>'15_В3_Производство'!A2</ns0:f>
        <ns0:v>Платья</ns0:v>
      </ns0:c>
      <ns0:c r="B2" s="9">
        <ns0:f>'15_В3_Производство'!B2</ns0:f>
        <ns0:v>500</ns0:v>
      </ns0:c>
      <ns0:c r="C2" s="9">
        <ns0:f>'15_В3_Производство'!C2</ns0:f>
        <ns0:v>470</ns0:v>
      </ns0:c>
      <ns0:c r="D2" s="9">
        <ns0:f>'15_В3_Производство'!D2</ns0:f>
        <ns0:v>10</ns0:v>
      </ns0:c>
      <ns0:c r="E2" s="9">
        <ns0:f>C2-D2</ns0:f>
        <ns0:v>460</ns0:v>
      </ns0:c>
      <ns0:c r="F2" s="8">
        <ns0:f>C2*'01_ТекстильПром'!G3</ns0:f>
        <ns0:v>235000</ns0:v>
      </ns0:c>
      <ns0:c r="G2" s="8">
        <ns0:f>E2*'01_ТекстильПром'!H3</ns0:f>
        <ns0:v>690000</ns0:v>
      </ns0:c>
      <ns0:c r="H2" s="8">
        <ns0:f>G2-F2</ns0:f>
        <ns0:v>455000</ns0:v>
      </ns0:c>
      <ns0:c r="I2" s="11">
        <ns0:f>IFERROR(H2/F2,0)</ns0:f>
        <ns0:v>1.9361702127659575</ns0:v>
      </ns0:c>
      <ns0:c r="J2" s="11">
        <ns0:f>IFERROR(E2/B2,0)</ns0:f>
        <ns0:v>0.92</ns0:v>
      </ns0:c>
      <ns0:c r="K2" s="11">
        <ns0:f>IFERROR(D2/C2,0)</ns0:f>
        <ns0:v>0.02127659574468085</ns0:v>
      </ns0:c>
      <ns0:c r="L2" s="9" t="str">
        <ns0:f>IF(AND(J2&gt;=1,K2&lt;=$N$2),"Норма","Внимание")</ns0:f>
        <ns0:v>Внимание</ns0:v>
      </ns0:c>
      <ns0:c r="N2" s="14">
        <ns0:v>0.02</ns0:v>
      </ns0:c>
    </ns0:row>
    <ns0:row r="3" spans="1:16">
      <ns0:c r="A3" s="9" t="str">
        <ns0:f>'15_В3_Производство'!A3</ns0:f>
        <ns0:v>Футболки</ns0:v>
      </ns0:c>
      <ns0:c r="B3" s="9">
        <ns0:f>'15_В3_Производство'!B3</ns0:f>
        <ns0:v>300</ns0:v>
      </ns0:c>
      <ns0:c r="C3" s="9">
        <ns0:f>'15_В3_Производство'!C3</ns0:f>
        <ns0:v>300</ns0:v>
      </ns0:c>
      <ns0:c r="D3" s="9">
        <ns0:f>'15_В3_Производство'!D3</ns0:f>
        <ns0:v>3</ns0:v>
      </ns0:c>
      <ns0:c r="E3" s="9">
        <ns0:f>C3-D3</ns0:f>
        <ns0:v>297</ns0:v>
      </ns0:c>
      <ns0:c r="F3" s="8">
        <ns0:f>C3*'01_ТекстильПром'!G4</ns0:f>
        <ns0:v>75000</ns0:v>
      </ns0:c>
      <ns0:c r="G3" s="8">
        <ns0:f>E3*'01_ТекстильПром'!H4</ns0:f>
        <ns0:v>148500</ns0:v>
      </ns0:c>
      <ns0:c r="H3" s="8">
        <ns0:f>G3-F3</ns0:f>
        <ns0:v>73500</ns0:v>
      </ns0:c>
      <ns0:c r="I3" s="11">
        <ns0:f>IFERROR(H3/F3,0)</ns0:f>
        <ns0:v>0.98</ns0:v>
      </ns0:c>
      <ns0:c r="J3" s="11">
        <ns0:f>IFERROR(E3/B3,0)</ns0:f>
        <ns0:v>0.99</ns0:v>
      </ns0:c>
      <ns0:c r="K3" s="11">
        <ns0:f>IFERROR(D3/C3,0)</ns0:f>
        <ns0:v>0.01</ns0:v>
      </ns0:c>
      <ns0:c r="L3" s="9" t="str">
        <ns0:f>IF(AND(J3&gt;=1,K3&lt;=$N$2),"Норма","Внимание")</ns0:f>
        <ns0:v>Внимание</ns0:v>
      </ns0:c>
    </ns0:row>
    <ns0:row r="4" spans="1:16">
      <ns0:c r="A4" s="9" t="str">
        <ns0:f>'15_В3_Производство'!A4</ns0:f>
        <ns0:v>Джинсы</ns0:v>
      </ns0:c>
      <ns0:c r="B4" s="9">
        <ns0:f>'15_В3_Производство'!B4</ns0:f>
        <ns0:v>400</ns0:v>
      </ns0:c>
      <ns0:c r="C4" s="9">
        <ns0:f>'15_В3_Производство'!C4</ns0:f>
        <ns0:v>460</ns0:v>
      </ns0:c>
      <ns0:c r="D4" s="9">
        <ns0:f>'15_В3_Производство'!D4</ns0:f>
        <ns0:v>6</ns0:v>
      </ns0:c>
      <ns0:c r="E4" s="9">
        <ns0:f>C4-D4</ns0:f>
        <ns0:v>454</ns0:v>
      </ns0:c>
      <ns0:c r="F4" s="8">
        <ns0:f>C4*'01_ТекстильПром'!G5</ns0:f>
        <ns0:v>368000</ns0:v>
      </ns0:c>
      <ns0:c r="G4" s="8">
        <ns0:f>E4*'01_ТекстильПром'!H5</ns0:f>
        <ns0:v>771800</ns0:v>
      </ns0:c>
      <ns0:c r="H4" s="8">
        <ns0:f>G4-F4</ns0:f>
        <ns0:v>403800</ns0:v>
      </ns0:c>
      <ns0:c r="I4" s="11">
        <ns0:f>IFERROR(H4/F4,0)</ns0:f>
        <ns0:v>1.0972826086956522</ns0:v>
      </ns0:c>
      <ns0:c r="J4" s="11">
        <ns0:f>IFERROR(E4/B4,0)</ns0:f>
        <ns0:v>1.135</ns0:v>
      </ns0:c>
      <ns0:c r="K4" s="11">
        <ns0:f>IFERROR(D4/C4,0)</ns0:f>
        <ns0:v>0.013043478260869565</ns0:v>
      </ns0:c>
      <ns0:c r="L4" s="9" t="str">
        <ns0:f>IF(AND(J4&gt;=1,K4&lt;=$N$2),"Норма","Внимание")</ns0:f>
        <ns0:v>Норма</ns0:v>
      </ns0:c>
    </ns0:row>
    <ns0:row r="5" spans="1:16">
      <ns0:c r="A5" s="9" t="str">
        <ns0:f>'15_В3_Производство'!A5</ns0:f>
        <ns0:v>Юбки</ns0:v>
      </ns0:c>
      <ns0:c r="B5" s="9">
        <ns0:f>'15_В3_Производство'!B5</ns0:f>
        <ns0:v>470</ns0:v>
      </ns0:c>
      <ns0:c r="C5" s="9">
        <ns0:f>'15_В3_Производство'!C5</ns0:f>
        <ns0:v>450</ns0:v>
      </ns0:c>
      <ns0:c r="D5" s="9">
        <ns0:f>'15_В3_Производство'!D5</ns0:f>
        <ns0:v>9</ns0:v>
      </ns0:c>
      <ns0:c r="E5" s="9">
        <ns0:f>C5-D5</ns0:f>
        <ns0:v>441</ns0:v>
      </ns0:c>
      <ns0:c r="F5" s="8">
        <ns0:f>C5*'01_ТекстильПром'!G6</ns0:f>
        <ns0:v>135000</ns0:v>
      </ns0:c>
      <ns0:c r="G5" s="8">
        <ns0:f>E5*'01_ТекстильПром'!H6</ns0:f>
        <ns0:v>264600</ns0:v>
      </ns0:c>
      <ns0:c r="H5" s="8">
        <ns0:f>G5-F5</ns0:f>
        <ns0:v>129600</ns0:v>
      </ns0:c>
      <ns0:c r="I5" s="11">
        <ns0:f>IFERROR(H5/F5,0)</ns0:f>
        <ns0:v>0.96</ns0:v>
      </ns0:c>
      <ns0:c r="J5" s="11">
        <ns0:f>IFERROR(E5/B5,0)</ns0:f>
        <ns0:v>0.9382978723404255</ns0:v>
      </ns0:c>
      <ns0:c r="K5" s="11">
        <ns0:f>IFERROR(D5/C5,0)</ns0:f>
        <ns0:v>0.02</ns0:v>
      </ns0:c>
      <ns0:c r="L5" s="9" t="str">
        <ns0:f>IF(AND(J5&gt;=1,K5&lt;=$N$2),"Норма","Внимание")</ns0:f>
        <ns0:v>Внимание</ns0:v>
      </ns0:c>
    </ns0:row>
    <ns0:row r="8" spans="1:16">
      <ns0:c r="A8" s="5" t="s">
        <ns0:v>165</ns0:v>
      </ns0:c>
      <ns0:c r="B8" s="8">
        <ns0:f>SUM(F2:F5)</ns0:f>
        <ns0:v>813000</ns0:v>
      </ns0:c>
    </ns0:row>
    <ns0:row r="9" spans="1:16">
      <ns0:c r="A9" s="5" t="s">
        <ns0:v>166</ns0:v>
      </ns0:c>
      <ns0:c r="B9" s="8">
        <ns0:f>SUM(G2:G5)</ns0:f>
        <ns0:v>1874900</ns0:v>
      </ns0:c>
    </ns0:row>
    <ns0:row r="10" spans="1:16">
      <ns0:c r="A10" s="5" t="s">
        <ns0:v>167</ns0:v>
      </ns0:c>
      <ns0:c r="B10" s="8">
        <ns0:f>SUM(H2:H5)</ns0:f>
        <ns0:v>1061900</ns0:v>
      </ns0:c>
    </ns0:row>
    <ns0:row r="11" spans="1:16">
      <ns0:c r="A11" s="5" t="s">
        <ns0:v>170</ns0:v>
      </ns0:c>
      <ns0:c r="B11" s="11">
        <ns0:f>IFERROR(SUM(H2:H5)/SUM(F2:F5),0)</ns0:f>
        <ns0:v>1.306150061500615</ns0:v>
      </ns0:c>
    </ns0:row>
    <ns0:row r="12" spans="1:16">
      <ns0:c r="A12" s="5" t="s">
        <ns0:v>143</ns0:v>
      </ns0:c>
      <ns0:c r="B12" s="11">
        <ns0:f>IFERROR(SUM(E2:E5)/SUM(B2:B5),0)</ns0:f>
        <ns0:v>0.9892215568862276</ns0:v>
      </ns0:c>
    </ns0:row>
    <ns0:row r="13" spans="1:16">
      <ns0:c r="A13" s="5" t="s">
        <ns0:v>171</ns0:v>
      </ns0:c>
      <ns0:c r="B13" s="11">
        <ns0:f>IFERROR(SUM(D2:D5)/SUM(C2:C5),0)</ns0:f>
        <ns0:v>0.016666666666666666</ns0:v>
      </ns0:c>
    </ns0:row>
    <ns0:row r="14" spans="1:16">
      <ns0:c r="A14" s="5" t="s">
        <ns0:v>172</ns0:v>
      </ns0:c>
      <ns0:c r="B14" s="9">
        <ns0:f>COUNTIF(L2:L5,"Внимание")</ns0:f>
        <ns0:v>3</ns0:v>
      </ns0:c>
    </ns0:row>
    <ns0:row r="16" spans="1:16">
      <ns0:c r="A16" s="2" t="s">
        <ns0:v>173</ns0:v>
      </ns0:c>
      <ns0:c r="B16" s="2"/>
      <ns0:c r="C16" s="2"/>
      <ns0:c r="D16" s="2"/>
      <ns0:c r="E16" s="2"/>
      <ns0:c r="F16" s="2"/>
      <ns0:c r="G16" s="2"/>
      <ns0:c r="H16" s="2"/>
      <ns0:c r="I16" s="2"/>
      <ns0:c r="J16" s="2"/>
      <ns0:c r="K16" s="2"/>
      <ns0:c r="L16" s="2"/>
    </ns0:row>
    <ns0:row r="17" spans="1:12">
      <ns0:c r="A17" s="2"/>
      <ns0:c r="B17" s="2"/>
      <ns0:c r="C17" s="2"/>
      <ns0:c r="D17" s="2"/>
      <ns0:c r="E17" s="2"/>
      <ns0:c r="F17" s="2"/>
      <ns0:c r="G17" s="2"/>
      <ns0:c r="H17" s="2"/>
      <ns0:c r="I17" s="2"/>
      <ns0:c r="J17" s="2"/>
      <ns0:c r="K17" s="2"/>
      <ns0:c r="L17" s="2"/>
    </ns0:row>
  </ns0:sheetData>
  <ns0:mergeCells count="1">
    <ns0:mergeCell ref="A16:L17"/>
  </ns0:mergeCells>
  <ns0:hyperlinks>
    <ns0:hyperlink ref="P1" location="'00_Навигация'!A1" display="← Содержание"/>
  </ns0:hyperlinks>
  <ns0:pageMargins left="0.3" right="0.3" top="0.4" bottom="0.4" header="0.3" footer="0.3"/>
  <ns0:pageSetup paperSize="9" fitToHeight="0" orientation="landscape"/>
  <ns0:headerFooter>
    <ns0:oddFooter>&amp;LУчебная работа • Электронные таблицы&amp;RСтраница &amp;P</ns0:oddFooter>
  </ns0:headerFooter>
  <ns0:drawing ns1:id="rId1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36</vt:i4>
      </vt:variant>
    </vt:vector>
  </HeadingPairs>
  <TitlesOfParts>
    <vt:vector size="54" baseType="lpstr">
      <vt:lpstr>00_Навигация</vt:lpstr>
      <vt:lpstr>01_ТекстильПром</vt:lpstr>
      <vt:lpstr>02_Сумма_среднее</vt:lpstr>
      <vt:lpstr>03_Среднее_без_нулей</vt:lpstr>
      <vt:lpstr>04_Скидка</vt:lpstr>
      <vt:lpstr>05_Доступ</vt:lpstr>
      <vt:lpstr>06_Срок_проекта</vt:lpstr>
      <vt:lpstr>07_Дедлайн</vt:lpstr>
      <vt:lpstr>08_Продажи</vt:lpstr>
      <vt:lpstr>09_Себестоимость</vt:lpstr>
      <vt:lpstr>10_Качество</vt:lpstr>
      <vt:lpstr>11_Заказ_праздники</vt:lpstr>
      <vt:lpstr>12_Партии_ткани</vt:lpstr>
      <vt:lpstr>13_В1_Рабочее_время</vt:lpstr>
      <vt:lpstr>14_В2_Склад</vt:lpstr>
      <vt:lpstr>15_В3_Производство</vt:lpstr>
      <vt:lpstr>16_В4_Доставка</vt:lpstr>
      <vt:lpstr>17_В5_Показатели_цеха</vt:lpstr>
      <vt:lpstr>'00_Навигация'!Print_Area</vt:lpstr>
      <vt:lpstr>'01_ТекстильПром'!Print_Area</vt:lpstr>
      <vt:lpstr>'02_Сумма_среднее'!Print_Area</vt:lpstr>
      <vt:lpstr>'03_Среднее_без_нулей'!Print_Area</vt:lpstr>
      <vt:lpstr>'04_Скидка'!Print_Area</vt:lpstr>
      <vt:lpstr>'05_Доступ'!Print_Area</vt:lpstr>
      <vt:lpstr>'06_Срок_проекта'!Print_Area</vt:lpstr>
      <vt:lpstr>'07_Дедлайн'!Print_Area</vt:lpstr>
      <vt:lpstr>'08_Продажи'!Print_Area</vt:lpstr>
      <vt:lpstr>'09_Себестоимость'!Print_Area</vt:lpstr>
      <vt:lpstr>'10_Качество'!Print_Area</vt:lpstr>
      <vt:lpstr>'11_Заказ_праздники'!Print_Area</vt:lpstr>
      <vt:lpstr>'12_Партии_ткани'!Print_Area</vt:lpstr>
      <vt:lpstr>'13_В1_Рабочее_время'!Print_Area</vt:lpstr>
      <vt:lpstr>'14_В2_Склад'!Print_Area</vt:lpstr>
      <vt:lpstr>'15_В3_Производство'!Print_Area</vt:lpstr>
      <vt:lpstr>'16_В4_Доставка'!Print_Area</vt:lpstr>
      <vt:lpstr>'17_В5_Показатели_цеха'!Print_Area</vt:lpstr>
      <vt:lpstr>'00_Навигация'!Print_Titles</vt:lpstr>
      <vt:lpstr>'01_ТекстильПром'!Print_Titles</vt:lpstr>
      <vt:lpstr>'02_Сумма_среднее'!Print_Titles</vt:lpstr>
      <vt:lpstr>'03_Среднее_без_нулей'!Print_Titles</vt:lpstr>
      <vt:lpstr>'04_Скидка'!Print_Titles</vt:lpstr>
      <vt:lpstr>'05_Доступ'!Print_Titles</vt:lpstr>
      <vt:lpstr>'06_Срок_проекта'!Print_Titles</vt:lpstr>
      <vt:lpstr>'07_Дедлайн'!Print_Titles</vt:lpstr>
      <vt:lpstr>'08_Продажи'!Print_Titles</vt:lpstr>
      <vt:lpstr>'09_Себестоимость'!Print_Titles</vt:lpstr>
      <vt:lpstr>'10_Качество'!Print_Titles</vt:lpstr>
      <vt:lpstr>'11_Заказ_праздники'!Print_Titles</vt:lpstr>
      <vt:lpstr>'12_Партии_ткани'!Print_Titles</vt:lpstr>
      <vt:lpstr>'13_В1_Рабочее_время'!Print_Titles</vt:lpstr>
      <vt:lpstr>'14_В2_Склад'!Print_Titles</vt:lpstr>
      <vt:lpstr>'15_В3_Производство'!Print_Titles</vt:lpstr>
      <vt:lpstr>'16_В4_Доставка'!Print_Titles</vt:lpstr>
      <vt:lpstr>'17_В5_Показатели_цеха'!Print_Titles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2026-10-23T10:58:46Z</dcterms:created>
  <dcterms:modified xsi:type="dcterms:W3CDTF">2026-10-23T10:58:46Z</dcterms:modified>
</cp:coreProperties>
</file>